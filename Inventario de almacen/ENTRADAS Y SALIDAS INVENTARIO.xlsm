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cer\OneDrive\Escritorio\ENTRADA Y SALIDA INVENTARIOS\"/>
    </mc:Choice>
  </mc:AlternateContent>
  <xr:revisionPtr revIDLastSave="0" documentId="13_ncr:1_{DCF76EDA-B332-4AE4-8CEC-4797CEB508BD}" xr6:coauthVersionLast="47" xr6:coauthVersionMax="47" xr10:uidLastSave="{00000000-0000-0000-0000-000000000000}"/>
  <bookViews>
    <workbookView xWindow="-28920" yWindow="-120" windowWidth="29040" windowHeight="15720" tabRatio="783" xr2:uid="{00000000-000D-0000-FFFF-FFFF00000000}"/>
  </bookViews>
  <sheets>
    <sheet name="Inicio" sheetId="11" r:id="rId1"/>
    <sheet name="Calculos" sheetId="6" state="veryHidden" r:id="rId2"/>
    <sheet name="Productos" sheetId="1" r:id="rId3"/>
    <sheet name="Proveedor" sheetId="4" r:id="rId4"/>
    <sheet name="Clientes" sheetId="5" r:id="rId5"/>
    <sheet name="Entradas" sheetId="2" r:id="rId6"/>
    <sheet name="Salidas" sheetId="3" r:id="rId7"/>
    <sheet name="Movimientos" sheetId="7" r:id="rId8"/>
    <sheet name="Kardex" sheetId="8" r:id="rId9"/>
    <sheet name="PrintCompras" sheetId="9" r:id="rId10"/>
    <sheet name="PrintVentas" sheetId="10" r:id="rId11"/>
  </sheets>
  <definedNames>
    <definedName name="_xlnm._FilterDatabase" localSheetId="7" hidden="1">Movimientos!$C$8:$K$13</definedName>
    <definedName name="_xlnm._FilterDatabase" localSheetId="9" hidden="1">PrintCompras!$E$3:$E$4</definedName>
    <definedName name="_xlnm._FilterDatabase" localSheetId="2" hidden="1">Productos!$A$1:$E$100</definedName>
    <definedName name="_xlnm.Print_Area" localSheetId="9">PrintCompras!$A$1:$F$62</definedName>
    <definedName name="_xlnm.Print_Area" localSheetId="10">PrintVentas!$A$1:$E$61</definedName>
    <definedName name="Categoria_Compra">Calculos!$E$5</definedName>
    <definedName name="Categoria_Venta">Calculos!$E$9</definedName>
    <definedName name="CodProducto_Compra">Calculos!$D$4</definedName>
    <definedName name="CodProducto_Venta">Calculos!$D$8</definedName>
    <definedName name="CostoUnit_Venta">Calculos!$D$12</definedName>
    <definedName name="Existencia_Venta">Calculos!$D$11</definedName>
    <definedName name="Formulas">Calculos!$F$3</definedName>
    <definedName name="NombreProducto_Compra">Calculos!$D$5</definedName>
    <definedName name="NombreProducto_Venta">Calculos!$D$9</definedName>
    <definedName name="PorcentajeImp">Inicio!#REF!</definedName>
    <definedName name="PrecioUnit_Venta">Calculos!$D$13</definedName>
    <definedName name="UndMedida_Compra">Calculos!$D$6</definedName>
    <definedName name="UndMedida_Venta">Calculos!$D$10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1" i="1"/>
  <c r="C6" i="7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7" i="8"/>
  <c r="I11" i="8" s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13" i="10"/>
  <c r="D12" i="10"/>
  <c r="H11" i="8" l="1"/>
  <c r="G11" i="8" s="1"/>
  <c r="D51" i="10"/>
  <c r="I3" i="10" l="1"/>
  <c r="H8" i="8"/>
  <c r="F3" i="6"/>
  <c r="D12" i="6" l="1"/>
  <c r="D13" i="6"/>
  <c r="E22" i="6" l="1"/>
  <c r="E21" i="6"/>
  <c r="E5" i="6"/>
  <c r="D16" i="6" l="1"/>
  <c r="O2" i="6"/>
  <c r="N2" i="6"/>
  <c r="D11" i="6" l="1"/>
  <c r="E9" i="6"/>
  <c r="D10" i="6"/>
  <c r="D9" i="6"/>
  <c r="D6" i="6"/>
  <c r="D5" i="6"/>
  <c r="D15" i="6" l="1"/>
  <c r="K3" i="10" l="1"/>
  <c r="J3" i="10"/>
  <c r="D19" i="6" l="1"/>
  <c r="D18" i="6"/>
  <c r="I8" i="8" l="1"/>
  <c r="G8" i="8" s="1"/>
</calcChain>
</file>

<file path=xl/sharedStrings.xml><?xml version="1.0" encoding="utf-8"?>
<sst xmlns="http://schemas.openxmlformats.org/spreadsheetml/2006/main" count="123" uniqueCount="78">
  <si>
    <t>Codigo</t>
  </si>
  <si>
    <t>Nombre de Producto</t>
  </si>
  <si>
    <t>Medida</t>
  </si>
  <si>
    <t>Und</t>
  </si>
  <si>
    <t>Fecha</t>
  </si>
  <si>
    <t>Proveedor</t>
  </si>
  <si>
    <t>Comentario</t>
  </si>
  <si>
    <t>Producto</t>
  </si>
  <si>
    <t>Cantidad</t>
  </si>
  <si>
    <t>N_Doc</t>
  </si>
  <si>
    <t>Clientes</t>
  </si>
  <si>
    <t>Codigo Producto Seleccionado FormCompra</t>
  </si>
  <si>
    <t>Nombre Producto Seleccionado FormCompra</t>
  </si>
  <si>
    <t>Und Producto Seleccionado FormCompra</t>
  </si>
  <si>
    <t>Codigo Producto Seleccionado FormVenta</t>
  </si>
  <si>
    <t>Nombre Producto Seleccionado FormVenta</t>
  </si>
  <si>
    <t>Und Producto Seleccionado FormVenta</t>
  </si>
  <si>
    <t xml:space="preserve">Suma de Cantidades Existentes </t>
  </si>
  <si>
    <t>Costo Producto Seleccionado FormVenta</t>
  </si>
  <si>
    <t>Existencia Producto Seleccionado FormVenta</t>
  </si>
  <si>
    <t>Precio Producto Seleccionado FormVenta</t>
  </si>
  <si>
    <t>Proveedor / Clientes</t>
  </si>
  <si>
    <t>Fecha Inicial</t>
  </si>
  <si>
    <t>Fecha Final</t>
  </si>
  <si>
    <t>INVENTARIO EN UNIDADES</t>
  </si>
  <si>
    <t>Inv. Inicial</t>
  </si>
  <si>
    <t>Inv. Final</t>
  </si>
  <si>
    <t>KARDEX- ENTRADAS Y SALIDAS DE PRODUCTOS</t>
  </si>
  <si>
    <t>Código</t>
  </si>
  <si>
    <t>Und.</t>
  </si>
  <si>
    <t>Proveedor:</t>
  </si>
  <si>
    <t>Comentario:</t>
  </si>
  <si>
    <t>Fecha:</t>
  </si>
  <si>
    <t>Modificacion Compras fila Inicial</t>
  </si>
  <si>
    <t>Modificacion Venta fila Inicial</t>
  </si>
  <si>
    <t>Categoría</t>
  </si>
  <si>
    <t>Cant. A Ingresar</t>
  </si>
  <si>
    <t>Suma Prod. Ingresados</t>
  </si>
  <si>
    <t>FilaBuscarCompra</t>
  </si>
  <si>
    <t>FilaBuscarVentas</t>
  </si>
  <si>
    <t>Dia</t>
  </si>
  <si>
    <t>Año</t>
  </si>
  <si>
    <t>Mes</t>
  </si>
  <si>
    <t>Nº</t>
  </si>
  <si>
    <t>CODIGO</t>
  </si>
  <si>
    <t>DESCRIPCIÓN</t>
  </si>
  <si>
    <t>UND</t>
  </si>
  <si>
    <t>CANT</t>
  </si>
  <si>
    <t>OBSERVACIONES</t>
  </si>
  <si>
    <t>BASE DE DATOS DE COMPRAS</t>
  </si>
  <si>
    <t>HISTORIAL DE MOVIMIENTOS</t>
  </si>
  <si>
    <t>COMPRA</t>
  </si>
  <si>
    <t>Num Factura</t>
  </si>
  <si>
    <t>Cant. Existente</t>
  </si>
  <si>
    <t>A001</t>
  </si>
  <si>
    <t>A002</t>
  </si>
  <si>
    <t>Entradas</t>
  </si>
  <si>
    <t>Salidas</t>
  </si>
  <si>
    <t>Buscando documento Compra</t>
  </si>
  <si>
    <t>Buscando documento Venta</t>
  </si>
  <si>
    <t>Inventario Inicial</t>
  </si>
  <si>
    <t>PROVEEDORES</t>
  </si>
  <si>
    <t>REQUISICIÓN</t>
  </si>
  <si>
    <t>ENTREGADO A:</t>
  </si>
  <si>
    <t>SALIDAS</t>
  </si>
  <si>
    <t>CLIENTES</t>
  </si>
  <si>
    <t>BASE DE DATOS DE SALIDAS</t>
  </si>
  <si>
    <t>1</t>
  </si>
  <si>
    <t>ENTRADAS</t>
  </si>
  <si>
    <t>COMPRA1</t>
  </si>
  <si>
    <t>Emily valencia Valencia</t>
  </si>
  <si>
    <t>Motul 7100 10W40 4T 4L</t>
  </si>
  <si>
    <t>Repsol Moto Sintetico 4t 10w40</t>
  </si>
  <si>
    <t>Aceites</t>
  </si>
  <si>
    <t>SALIDA1</t>
  </si>
  <si>
    <t>Zuten Industrial</t>
  </si>
  <si>
    <t>CONTROL DE INVENTARIOS ALMACEN ZUTEN</t>
  </si>
  <si>
    <t>A0212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</si>
</sst>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;\-&quot;$&quot;#,##0.00"/>
    <numFmt numFmtId="165" formatCode="dd/mm/yyyy;@"/>
  </numFmts>
  <fonts count="26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</font>
    <font>
      <sz val="8"/>
      <color theme="1"/>
      <name val="Calibri"/>
      <family val="2"/>
    </font>
    <font>
      <b/>
      <sz val="10"/>
      <color theme="0"/>
      <name val="Segoe UI"/>
      <family val="2"/>
    </font>
    <font>
      <b/>
      <sz val="11"/>
      <color theme="0"/>
      <name val="Segoe UI"/>
      <family val="2"/>
    </font>
    <font>
      <b/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name val="Segoe UI"/>
      <family val="2"/>
    </font>
    <font>
      <sz val="11"/>
      <name val="Segoe UI"/>
      <family val="2"/>
    </font>
    <font>
      <b/>
      <sz val="14"/>
      <color theme="1"/>
      <name val="Segoe UI"/>
      <family val="2"/>
    </font>
    <font>
      <b/>
      <sz val="11"/>
      <color theme="1"/>
      <name val="Calibri"/>
      <family val="2"/>
    </font>
    <font>
      <sz val="8"/>
      <name val="Century Gothic"/>
      <family val="2"/>
      <scheme val="minor"/>
    </font>
    <font>
      <sz val="11"/>
      <color theme="4"/>
      <name val="Segoe UI"/>
      <family val="2"/>
    </font>
    <font>
      <b/>
      <sz val="11"/>
      <color theme="4"/>
      <name val="Segoe UI"/>
      <family val="2"/>
    </font>
    <font>
      <b/>
      <sz val="18"/>
      <color rgb="FFC00000"/>
      <name val="Segoe UI"/>
      <family val="2"/>
    </font>
    <font>
      <b/>
      <sz val="18"/>
      <color theme="4"/>
      <name val="Segoe UI"/>
      <family val="2"/>
    </font>
    <font>
      <b/>
      <sz val="20"/>
      <color theme="4"/>
      <name val="Segoe UI"/>
      <family val="2"/>
    </font>
    <font>
      <b/>
      <sz val="12"/>
      <color theme="4"/>
      <name val="Segoe UI"/>
      <family val="2"/>
    </font>
    <font>
      <b/>
      <sz val="20"/>
      <color theme="0"/>
      <name val="Segoe UI"/>
      <family val="2"/>
    </font>
    <font>
      <sz val="11"/>
      <name val="Segoe UI"/>
    </font>
    <font>
      <b/>
      <sz val="10"/>
      <name val="Segoe UI"/>
      <family val="2"/>
    </font>
    <font>
      <b/>
      <sz val="15"/>
      <color theme="4"/>
      <name val="Segoe UI"/>
      <family val="2"/>
    </font>
    <font>
      <u/>
      <sz val="11"/>
      <color theme="10"/>
      <name val="Century Gothic"/>
      <family val="2"/>
      <scheme val="minor"/>
    </font>
    <font>
      <sz val="11"/>
      <color rgb="FF31313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/>
      <top/>
      <bottom style="medium">
        <color rgb="FFFFC000"/>
      </bottom>
      <diagonal/>
    </border>
    <border>
      <left/>
      <right/>
      <top/>
      <bottom style="thick">
        <color rgb="FFFFC00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0" fillId="0" borderId="0" xfId="0" applyAlignment="1">
      <alignment horizontal="right"/>
    </xf>
    <xf numFmtId="0" fontId="5" fillId="3" borderId="0" xfId="0" applyFont="1" applyFill="1" applyAlignment="1">
      <alignment horizontal="center"/>
    </xf>
    <xf numFmtId="0" fontId="5" fillId="3" borderId="0" xfId="1" applyNumberFormat="1" applyFont="1" applyFill="1" applyAlignment="1" applyProtection="1">
      <alignment horizontal="center"/>
      <protection hidden="1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14" fontId="6" fillId="4" borderId="2" xfId="0" applyNumberFormat="1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15" fontId="6" fillId="4" borderId="3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10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0" fontId="8" fillId="0" borderId="0" xfId="0" applyFont="1" applyAlignment="1">
      <alignment horizontal="center"/>
    </xf>
    <xf numFmtId="0" fontId="10" fillId="0" borderId="0" xfId="0" applyFont="1"/>
    <xf numFmtId="0" fontId="6" fillId="2" borderId="0" xfId="0" applyFont="1" applyFill="1" applyAlignment="1">
      <alignment horizontal="center"/>
    </xf>
    <xf numFmtId="0" fontId="2" fillId="0" borderId="0" xfId="0" applyFont="1" applyAlignment="1">
      <alignment horizontal="left"/>
    </xf>
    <xf numFmtId="44" fontId="2" fillId="0" borderId="0" xfId="1" applyFont="1" applyProtection="1">
      <protection locked="0"/>
    </xf>
    <xf numFmtId="0" fontId="6" fillId="3" borderId="1" xfId="0" applyFont="1" applyFill="1" applyBorder="1" applyAlignment="1" applyProtection="1">
      <alignment horizontal="right"/>
      <protection locked="0"/>
    </xf>
    <xf numFmtId="44" fontId="2" fillId="0" borderId="0" xfId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right"/>
      <protection locked="0"/>
    </xf>
    <xf numFmtId="14" fontId="7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5" fontId="2" fillId="0" borderId="0" xfId="0" applyNumberFormat="1" applyFont="1" applyAlignment="1" applyProtection="1">
      <alignment horizontal="center" vertical="center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6" fillId="3" borderId="5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/>
      <protection hidden="1"/>
    </xf>
    <xf numFmtId="0" fontId="2" fillId="0" borderId="6" xfId="0" applyFont="1" applyBorder="1" applyProtection="1">
      <protection hidden="1"/>
    </xf>
    <xf numFmtId="0" fontId="7" fillId="0" borderId="0" xfId="0" applyFont="1" applyAlignment="1">
      <alignment horizontal="right"/>
    </xf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6" xfId="0" applyFont="1" applyBorder="1" applyAlignment="1" applyProtection="1">
      <alignment horizontal="left"/>
      <protection hidden="1"/>
    </xf>
    <xf numFmtId="0" fontId="3" fillId="0" borderId="1" xfId="0" applyFont="1" applyBorder="1"/>
    <xf numFmtId="44" fontId="2" fillId="0" borderId="0" xfId="1" applyFont="1" applyAlignment="1" applyProtection="1">
      <alignment horizontal="center"/>
      <protection hidden="1"/>
    </xf>
    <xf numFmtId="0" fontId="3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6" fillId="7" borderId="1" xfId="0" applyFont="1" applyFill="1" applyBorder="1" applyAlignment="1">
      <alignment horizontal="center"/>
    </xf>
    <xf numFmtId="0" fontId="16" fillId="5" borderId="0" xfId="0" applyFont="1" applyFill="1" applyAlignment="1">
      <alignment horizontal="right" vertical="center"/>
    </xf>
    <xf numFmtId="0" fontId="2" fillId="5" borderId="10" xfId="0" applyFont="1" applyFill="1" applyBorder="1"/>
    <xf numFmtId="0" fontId="11" fillId="5" borderId="0" xfId="0" applyFont="1" applyFill="1"/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11" xfId="0" applyFont="1" applyBorder="1"/>
    <xf numFmtId="0" fontId="5" fillId="3" borderId="8" xfId="0" applyFont="1" applyFill="1" applyBorder="1" applyAlignment="1">
      <alignment horizontal="right" indent="1"/>
    </xf>
    <xf numFmtId="0" fontId="5" fillId="3" borderId="9" xfId="0" applyFont="1" applyFill="1" applyBorder="1" applyAlignment="1">
      <alignment horizontal="right" indent="1"/>
    </xf>
    <xf numFmtId="0" fontId="14" fillId="5" borderId="10" xfId="0" applyFont="1" applyFill="1" applyBorder="1"/>
    <xf numFmtId="0" fontId="2" fillId="5" borderId="0" xfId="0" applyFont="1" applyFill="1" applyProtection="1">
      <protection locked="0"/>
    </xf>
    <xf numFmtId="0" fontId="17" fillId="0" borderId="0" xfId="0" applyFont="1" applyAlignment="1" applyProtection="1">
      <alignment horizontal="left" vertical="center"/>
      <protection locked="0"/>
    </xf>
    <xf numFmtId="0" fontId="19" fillId="0" borderId="13" xfId="0" applyFont="1" applyBorder="1" applyAlignment="1" applyProtection="1">
      <alignment vertical="top"/>
      <protection locked="0"/>
    </xf>
    <xf numFmtId="0" fontId="2" fillId="0" borderId="13" xfId="0" applyFont="1" applyBorder="1" applyAlignment="1" applyProtection="1">
      <alignment horizontal="center"/>
      <protection locked="0"/>
    </xf>
    <xf numFmtId="14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left"/>
    </xf>
    <xf numFmtId="165" fontId="7" fillId="0" borderId="1" xfId="0" applyNumberFormat="1" applyFont="1" applyBorder="1" applyAlignment="1" applyProtection="1">
      <alignment horizontal="center"/>
      <protection locked="0"/>
    </xf>
    <xf numFmtId="0" fontId="5" fillId="3" borderId="0" xfId="0" applyFont="1" applyFill="1" applyAlignment="1">
      <alignment horizontal="right"/>
    </xf>
    <xf numFmtId="0" fontId="2" fillId="0" borderId="16" xfId="0" applyFont="1" applyBorder="1"/>
    <xf numFmtId="0" fontId="16" fillId="0" borderId="0" xfId="0" applyFont="1" applyAlignment="1">
      <alignment horizontal="right" vertical="center" indent="1"/>
    </xf>
    <xf numFmtId="0" fontId="11" fillId="0" borderId="0" xfId="0" applyFont="1"/>
    <xf numFmtId="0" fontId="16" fillId="0" borderId="0" xfId="0" applyFont="1" applyAlignment="1" applyProtection="1">
      <alignment horizontal="left" vertical="center" indent="1"/>
      <protection locked="0"/>
    </xf>
    <xf numFmtId="0" fontId="14" fillId="0" borderId="15" xfId="0" applyFont="1" applyBorder="1" applyProtection="1">
      <protection locked="0"/>
    </xf>
    <xf numFmtId="0" fontId="18" fillId="0" borderId="14" xfId="0" applyFont="1" applyBorder="1" applyAlignment="1" applyProtection="1">
      <alignment horizontal="left" indent="8"/>
      <protection locked="0"/>
    </xf>
    <xf numFmtId="0" fontId="14" fillId="0" borderId="14" xfId="0" applyFont="1" applyBorder="1" applyProtection="1">
      <protection locked="0"/>
    </xf>
    <xf numFmtId="0" fontId="18" fillId="0" borderId="14" xfId="0" applyFont="1" applyBorder="1" applyAlignment="1" applyProtection="1">
      <alignment horizontal="left" indent="10"/>
      <protection locked="0"/>
    </xf>
    <xf numFmtId="0" fontId="14" fillId="0" borderId="14" xfId="0" applyFont="1" applyBorder="1" applyAlignment="1" applyProtection="1">
      <alignment horizontal="left" indent="10"/>
      <protection locked="0"/>
    </xf>
    <xf numFmtId="0" fontId="0" fillId="0" borderId="0" xfId="0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15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16" fillId="5" borderId="0" xfId="0" applyFont="1" applyFill="1" applyAlignment="1" applyProtection="1">
      <alignment horizontal="left" vertical="center"/>
      <protection locked="0"/>
    </xf>
    <xf numFmtId="0" fontId="22" fillId="5" borderId="0" xfId="0" applyFont="1" applyFill="1" applyAlignment="1">
      <alignment horizontal="right" indent="1"/>
    </xf>
    <xf numFmtId="0" fontId="10" fillId="5" borderId="0" xfId="0" applyFont="1" applyFill="1" applyProtection="1">
      <protection locked="0"/>
    </xf>
    <xf numFmtId="0" fontId="5" fillId="3" borderId="18" xfId="0" applyFont="1" applyFill="1" applyBorder="1" applyAlignment="1">
      <alignment horizontal="right"/>
    </xf>
    <xf numFmtId="165" fontId="21" fillId="0" borderId="0" xfId="0" applyNumberFormat="1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locked="0"/>
    </xf>
    <xf numFmtId="15" fontId="21" fillId="0" borderId="0" xfId="0" applyNumberFormat="1" applyFont="1" applyAlignment="1" applyProtection="1">
      <alignment horizontal="left"/>
      <protection locked="0"/>
    </xf>
    <xf numFmtId="0" fontId="21" fillId="0" borderId="0" xfId="0" applyFont="1" applyAlignment="1" applyProtection="1">
      <alignment horizontal="left"/>
      <protection locked="0"/>
    </xf>
    <xf numFmtId="14" fontId="2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165" fontId="14" fillId="0" borderId="13" xfId="0" applyNumberFormat="1" applyFont="1" applyBorder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0" fontId="2" fillId="5" borderId="17" xfId="0" applyFont="1" applyFill="1" applyBorder="1" applyAlignment="1">
      <alignment horizontal="center"/>
    </xf>
    <xf numFmtId="0" fontId="14" fillId="0" borderId="0" xfId="0" applyFont="1" applyAlignment="1" applyProtection="1">
      <alignment vertical="top"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14" fillId="5" borderId="17" xfId="0" applyFont="1" applyFill="1" applyBorder="1" applyAlignment="1">
      <alignment horizontal="left"/>
    </xf>
    <xf numFmtId="0" fontId="14" fillId="0" borderId="1" xfId="0" applyFont="1" applyBorder="1"/>
    <xf numFmtId="165" fontId="10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left"/>
      <protection locked="0"/>
    </xf>
    <xf numFmtId="14" fontId="2" fillId="5" borderId="0" xfId="0" applyNumberFormat="1" applyFont="1" applyFill="1" applyAlignment="1" applyProtection="1">
      <alignment horizontal="center"/>
      <protection locked="0"/>
    </xf>
    <xf numFmtId="0" fontId="2" fillId="5" borderId="0" xfId="0" applyFont="1" applyFill="1" applyAlignment="1" applyProtection="1">
      <alignment horizontal="center"/>
      <protection locked="0"/>
    </xf>
    <xf numFmtId="0" fontId="2" fillId="5" borderId="0" xfId="0" applyFont="1" applyFill="1" applyAlignment="1" applyProtection="1">
      <alignment horizontal="left"/>
      <protection locked="0"/>
    </xf>
    <xf numFmtId="0" fontId="18" fillId="5" borderId="13" xfId="0" applyFont="1" applyFill="1" applyBorder="1" applyAlignment="1" applyProtection="1">
      <alignment horizontal="left" indent="9"/>
      <protection locked="0"/>
    </xf>
    <xf numFmtId="0" fontId="2" fillId="5" borderId="13" xfId="0" applyFont="1" applyFill="1" applyBorder="1" applyAlignment="1" applyProtection="1">
      <alignment horizontal="left" indent="8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7" fillId="6" borderId="1" xfId="0" applyFont="1" applyFill="1" applyBorder="1" applyAlignment="1" applyProtection="1">
      <alignment horizontal="center"/>
      <protection locked="0"/>
    </xf>
    <xf numFmtId="15" fontId="10" fillId="0" borderId="0" xfId="0" applyNumberFormat="1" applyFont="1" applyAlignment="1" applyProtection="1">
      <alignment horizontal="left"/>
      <protection locked="0"/>
    </xf>
    <xf numFmtId="0" fontId="7" fillId="0" borderId="0" xfId="0" applyFont="1"/>
    <xf numFmtId="0" fontId="24" fillId="0" borderId="0" xfId="4" applyProtection="1"/>
    <xf numFmtId="9" fontId="2" fillId="0" borderId="0" xfId="3" applyFont="1" applyProtection="1"/>
    <xf numFmtId="9" fontId="15" fillId="0" borderId="0" xfId="3" applyFont="1" applyAlignment="1" applyProtection="1">
      <alignment horizontal="left"/>
    </xf>
    <xf numFmtId="0" fontId="2" fillId="0" borderId="14" xfId="0" applyFont="1" applyBorder="1"/>
    <xf numFmtId="0" fontId="25" fillId="0" borderId="0" xfId="0" applyFont="1" applyAlignment="1">
      <alignment horizontal="justify" vertical="center" wrapText="1"/>
    </xf>
    <xf numFmtId="0" fontId="20" fillId="3" borderId="14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 wrapText="1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center"/>
    </xf>
    <xf numFmtId="0" fontId="23" fillId="5" borderId="0" xfId="0" applyFont="1" applyFill="1" applyAlignment="1" applyProtection="1">
      <alignment horizontal="center"/>
      <protection locked="0"/>
    </xf>
    <xf numFmtId="0" fontId="22" fillId="5" borderId="0" xfId="0" applyFont="1" applyFill="1" applyAlignment="1">
      <alignment horizontal="center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top" wrapText="1"/>
      <protection locked="0"/>
    </xf>
  </cellXfs>
  <cellStyles count="5">
    <cellStyle name="Hipervínculo" xfId="4" builtinId="8"/>
    <cellStyle name="Moneda" xfId="1" builtinId="4"/>
    <cellStyle name="Moneda 2" xfId="2" xr:uid="{00000000-0005-0000-0000-000001000000}"/>
    <cellStyle name="Normal" xfId="0" builtinId="0"/>
    <cellStyle name="Porcentaje" xfId="3" builtinId="5"/>
  </cellStyles>
  <dxfs count="40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2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2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165" formatCode="dd/mm/yyyy;@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165" formatCode="dd/mm/yyyy;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rgb="FFFFFFB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B9"/>
        </patternFill>
      </fill>
    </dxf>
  </dxfs>
  <tableStyles count="0" defaultTableStyle="TableStyleMedium2" defaultPivotStyle="PivotStyleLight16"/>
  <colors>
    <mruColors>
      <color rgb="FFFFFF71"/>
      <color rgb="FFFFFF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Movimientos!A1"/><Relationship Id="rId13" Type="http://schemas.openxmlformats.org/officeDocument/2006/relationships/image" Target="../media/image7.jpg"/><Relationship Id="rId3" Type="http://schemas.openxmlformats.org/officeDocument/2006/relationships/image" Target="../media/image2.png"/><Relationship Id="rId7" Type="http://schemas.openxmlformats.org/officeDocument/2006/relationships/image" Target="../media/image4.jpg"/><Relationship Id="rId12" Type="http://schemas.openxmlformats.org/officeDocument/2006/relationships/hyperlink" Target="#Productos!A1"/><Relationship Id="rId2" Type="http://schemas.openxmlformats.org/officeDocument/2006/relationships/hyperlink" Target="#Clientes!A1"/><Relationship Id="rId16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hyperlink" Target="#Kardex!A1"/><Relationship Id="rId11" Type="http://schemas.openxmlformats.org/officeDocument/2006/relationships/image" Target="../media/image6.jpg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10" Type="http://schemas.openxmlformats.org/officeDocument/2006/relationships/hyperlink" Target="#Entradas!A1"/><Relationship Id="rId4" Type="http://schemas.openxmlformats.org/officeDocument/2006/relationships/hyperlink" Target="#Proveedor!A1"/><Relationship Id="rId9" Type="http://schemas.openxmlformats.org/officeDocument/2006/relationships/image" Target="../media/image5.png"/><Relationship Id="rId14" Type="http://schemas.openxmlformats.org/officeDocument/2006/relationships/hyperlink" Target="#Salida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g"/><Relationship Id="rId2" Type="http://schemas.openxmlformats.org/officeDocument/2006/relationships/image" Target="../media/image10.jpg"/><Relationship Id="rId1" Type="http://schemas.openxmlformats.org/officeDocument/2006/relationships/hyperlink" Target="#Inic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0.jpg"/><Relationship Id="rId1" Type="http://schemas.openxmlformats.org/officeDocument/2006/relationships/hyperlink" Target="#Inicio!A1"/><Relationship Id="rId4" Type="http://schemas.openxmlformats.org/officeDocument/2006/relationships/image" Target="../media/image13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0.jpg"/><Relationship Id="rId1" Type="http://schemas.openxmlformats.org/officeDocument/2006/relationships/hyperlink" Target="#Inicio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hyperlink" Target="#Inicio!A1"/><Relationship Id="rId1" Type="http://schemas.openxmlformats.org/officeDocument/2006/relationships/image" Target="../media/image11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hyperlink" Target="#Inicio!A1"/><Relationship Id="rId1" Type="http://schemas.openxmlformats.org/officeDocument/2006/relationships/image" Target="../media/image11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hyperlink" Target="#Inicio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57150</xdr:rowOff>
    </xdr:from>
    <xdr:to>
      <xdr:col>6</xdr:col>
      <xdr:colOff>726990</xdr:colOff>
      <xdr:row>9</xdr:row>
      <xdr:rowOff>5042</xdr:rowOff>
    </xdr:to>
    <xdr:pic macro="[0]!ShowFormCompras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5775" y="1085850"/>
          <a:ext cx="974640" cy="957542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161925</xdr:colOff>
      <xdr:row>3</xdr:row>
      <xdr:rowOff>200025</xdr:rowOff>
    </xdr:from>
    <xdr:to>
      <xdr:col>5</xdr:col>
      <xdr:colOff>293073</xdr:colOff>
      <xdr:row>9</xdr:row>
      <xdr:rowOff>853</xdr:rowOff>
    </xdr:to>
    <xdr:pic>
      <xdr:nvPicPr>
        <xdr:cNvPr id="9" name="Imagen 8">
          <a:hlinkClick xmlns:r="http://schemas.openxmlformats.org/officeDocument/2006/relationships" r:id="rId2" tooltip="Clientes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14725" y="828675"/>
          <a:ext cx="969348" cy="1048603"/>
        </a:xfrm>
        <a:prstGeom prst="rect">
          <a:avLst/>
        </a:prstGeom>
      </xdr:spPr>
    </xdr:pic>
    <xdr:clientData/>
  </xdr:twoCellAnchor>
  <xdr:twoCellAnchor editAs="oneCell">
    <xdr:from>
      <xdr:col>2</xdr:col>
      <xdr:colOff>438150</xdr:colOff>
      <xdr:row>4</xdr:row>
      <xdr:rowOff>19051</xdr:rowOff>
    </xdr:from>
    <xdr:to>
      <xdr:col>3</xdr:col>
      <xdr:colOff>812773</xdr:colOff>
      <xdr:row>9</xdr:row>
      <xdr:rowOff>8857</xdr:rowOff>
    </xdr:to>
    <xdr:pic>
      <xdr:nvPicPr>
        <xdr:cNvPr id="12" name="Imagen 11">
          <a:hlinkClick xmlns:r="http://schemas.openxmlformats.org/officeDocument/2006/relationships" r:id="rId4" tooltip="Proveedores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14550" y="857251"/>
          <a:ext cx="1212823" cy="99945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10</xdr:row>
      <xdr:rowOff>85726</xdr:rowOff>
    </xdr:from>
    <xdr:to>
      <xdr:col>2</xdr:col>
      <xdr:colOff>400050</xdr:colOff>
      <xdr:row>15</xdr:row>
      <xdr:rowOff>161926</xdr:rowOff>
    </xdr:to>
    <xdr:pic>
      <xdr:nvPicPr>
        <xdr:cNvPr id="16" name="Imagen 15">
          <a:hlinkClick xmlns:r="http://schemas.openxmlformats.org/officeDocument/2006/relationships" r:id="rId6" tooltip="Existencias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23" r="7549" b="12370"/>
        <a:stretch/>
      </xdr:blipFill>
      <xdr:spPr>
        <a:xfrm>
          <a:off x="390525" y="2400301"/>
          <a:ext cx="1200150" cy="1123950"/>
        </a:xfrm>
        <a:prstGeom prst="rect">
          <a:avLst/>
        </a:prstGeom>
      </xdr:spPr>
    </xdr:pic>
    <xdr:clientData/>
  </xdr:twoCellAnchor>
  <xdr:twoCellAnchor editAs="oneCell">
    <xdr:from>
      <xdr:col>2</xdr:col>
      <xdr:colOff>600076</xdr:colOff>
      <xdr:row>10</xdr:row>
      <xdr:rowOff>115815</xdr:rowOff>
    </xdr:from>
    <xdr:to>
      <xdr:col>3</xdr:col>
      <xdr:colOff>657226</xdr:colOff>
      <xdr:row>16</xdr:row>
      <xdr:rowOff>8870</xdr:rowOff>
    </xdr:to>
    <xdr:pic>
      <xdr:nvPicPr>
        <xdr:cNvPr id="21" name="Imagen 20">
          <a:hlinkClick xmlns:r="http://schemas.openxmlformats.org/officeDocument/2006/relationships" r:id="rId8" tooltip="Historial de Movimientos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0701" y="2363715"/>
          <a:ext cx="895350" cy="1150355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161926</xdr:colOff>
      <xdr:row>10</xdr:row>
      <xdr:rowOff>171450</xdr:rowOff>
    </xdr:from>
    <xdr:to>
      <xdr:col>5</xdr:col>
      <xdr:colOff>238126</xdr:colOff>
      <xdr:row>15</xdr:row>
      <xdr:rowOff>136291</xdr:rowOff>
    </xdr:to>
    <xdr:pic>
      <xdr:nvPicPr>
        <xdr:cNvPr id="23" name="Imagen 22">
          <a:hlinkClick xmlns:r="http://schemas.openxmlformats.org/officeDocument/2006/relationships" r:id="rId10" tooltip="Compras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1" y="2419350"/>
          <a:ext cx="914400" cy="1012591"/>
        </a:xfrm>
        <a:prstGeom prst="rect">
          <a:avLst/>
        </a:prstGeom>
      </xdr:spPr>
    </xdr:pic>
    <xdr:clientData/>
  </xdr:twoCellAnchor>
  <xdr:twoCellAnchor editAs="oneCell">
    <xdr:from>
      <xdr:col>1</xdr:col>
      <xdr:colOff>95249</xdr:colOff>
      <xdr:row>4</xdr:row>
      <xdr:rowOff>104776</xdr:rowOff>
    </xdr:from>
    <xdr:to>
      <xdr:col>2</xdr:col>
      <xdr:colOff>198054</xdr:colOff>
      <xdr:row>8</xdr:row>
      <xdr:rowOff>180784</xdr:rowOff>
    </xdr:to>
    <xdr:pic>
      <xdr:nvPicPr>
        <xdr:cNvPr id="27" name="Imagen 26">
          <a:hlinkClick xmlns:r="http://schemas.openxmlformats.org/officeDocument/2006/relationships" r:id="rId12" tooltip="Productos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49" y="942976"/>
          <a:ext cx="941005" cy="876108"/>
        </a:xfrm>
        <a:prstGeom prst="rect">
          <a:avLst/>
        </a:prstGeom>
      </xdr:spPr>
    </xdr:pic>
    <xdr:clientData/>
  </xdr:twoCellAnchor>
  <xdr:twoCellAnchor editAs="oneCell">
    <xdr:from>
      <xdr:col>5</xdr:col>
      <xdr:colOff>523875</xdr:colOff>
      <xdr:row>10</xdr:row>
      <xdr:rowOff>76200</xdr:rowOff>
    </xdr:from>
    <xdr:to>
      <xdr:col>6</xdr:col>
      <xdr:colOff>679409</xdr:colOff>
      <xdr:row>15</xdr:row>
      <xdr:rowOff>180694</xdr:rowOff>
    </xdr:to>
    <xdr:pic>
      <xdr:nvPicPr>
        <xdr:cNvPr id="3" name="Imagen 2">
          <a:hlinkClick xmlns:r="http://schemas.openxmlformats.org/officeDocument/2006/relationships" r:id="rId14" tooltip="Salidas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229100" y="2324100"/>
          <a:ext cx="993734" cy="1152244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123824</xdr:colOff>
      <xdr:row>4</xdr:row>
      <xdr:rowOff>57151</xdr:rowOff>
    </xdr:from>
    <xdr:to>
      <xdr:col>8</xdr:col>
      <xdr:colOff>99815</xdr:colOff>
      <xdr:row>8</xdr:row>
      <xdr:rowOff>171450</xdr:rowOff>
    </xdr:to>
    <xdr:pic macro="[0]!ShowFormVentas"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b="7594"/>
        <a:stretch/>
      </xdr:blipFill>
      <xdr:spPr>
        <a:xfrm>
          <a:off x="5505449" y="1085851"/>
          <a:ext cx="814191" cy="914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209550</xdr:colOff>
      <xdr:row>7</xdr:row>
      <xdr:rowOff>114300</xdr:rowOff>
    </xdr:from>
    <xdr:to>
      <xdr:col>7</xdr:col>
      <xdr:colOff>740946</xdr:colOff>
      <xdr:row>11</xdr:row>
      <xdr:rowOff>43957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485900"/>
          <a:ext cx="531396" cy="6916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0</xdr:row>
      <xdr:rowOff>152400</xdr:rowOff>
    </xdr:from>
    <xdr:to>
      <xdr:col>7</xdr:col>
      <xdr:colOff>584162</xdr:colOff>
      <xdr:row>3</xdr:row>
      <xdr:rowOff>85725</xdr:rowOff>
    </xdr:to>
    <xdr:pic>
      <xdr:nvPicPr>
        <xdr:cNvPr id="4" name="Imagen 3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6350" y="152400"/>
          <a:ext cx="431762" cy="561975"/>
        </a:xfrm>
        <a:prstGeom prst="rect">
          <a:avLst/>
        </a:prstGeom>
      </xdr:spPr>
    </xdr:pic>
    <xdr:clientData/>
  </xdr:twoCellAnchor>
  <xdr:twoCellAnchor editAs="oneCell">
    <xdr:from>
      <xdr:col>5</xdr:col>
      <xdr:colOff>771525</xdr:colOff>
      <xdr:row>0</xdr:row>
      <xdr:rowOff>182399</xdr:rowOff>
    </xdr:from>
    <xdr:to>
      <xdr:col>6</xdr:col>
      <xdr:colOff>552450</xdr:colOff>
      <xdr:row>3</xdr:row>
      <xdr:rowOff>81953</xdr:rowOff>
    </xdr:to>
    <xdr:pic macro="[0]!ActualizarProductos"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9075" y="182399"/>
          <a:ext cx="619125" cy="5282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723900</xdr:colOff>
      <xdr:row>0</xdr:row>
      <xdr:rowOff>123825</xdr:rowOff>
    </xdr:from>
    <xdr:to>
      <xdr:col>6</xdr:col>
      <xdr:colOff>317462</xdr:colOff>
      <xdr:row>3</xdr:row>
      <xdr:rowOff>57150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23825"/>
          <a:ext cx="431762" cy="5619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628650</xdr:colOff>
      <xdr:row>0</xdr:row>
      <xdr:rowOff>104775</xdr:rowOff>
    </xdr:from>
    <xdr:to>
      <xdr:col>4</xdr:col>
      <xdr:colOff>222212</xdr:colOff>
      <xdr:row>3</xdr:row>
      <xdr:rowOff>38100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96300" y="104775"/>
          <a:ext cx="431762" cy="5619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581526</xdr:colOff>
      <xdr:row>0</xdr:row>
      <xdr:rowOff>159467</xdr:rowOff>
    </xdr:from>
    <xdr:to>
      <xdr:col>3</xdr:col>
      <xdr:colOff>1082843</xdr:colOff>
      <xdr:row>6</xdr:row>
      <xdr:rowOff>200369</xdr:rowOff>
    </xdr:to>
    <xdr:pic>
      <xdr:nvPicPr>
        <xdr:cNvPr id="8" name="Imagen 7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59467"/>
          <a:ext cx="501317" cy="652507"/>
        </a:xfrm>
        <a:prstGeom prst="rect">
          <a:avLst/>
        </a:prstGeom>
      </xdr:spPr>
    </xdr:pic>
    <xdr:clientData/>
  </xdr:twoCellAnchor>
  <xdr:twoCellAnchor editAs="oneCell">
    <xdr:from>
      <xdr:col>2</xdr:col>
      <xdr:colOff>290762</xdr:colOff>
      <xdr:row>1</xdr:row>
      <xdr:rowOff>10025</xdr:rowOff>
    </xdr:from>
    <xdr:to>
      <xdr:col>3</xdr:col>
      <xdr:colOff>414763</xdr:colOff>
      <xdr:row>6</xdr:row>
      <xdr:rowOff>210552</xdr:rowOff>
    </xdr:to>
    <xdr:pic macro="[0]!EliminarFilas"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2366"/>
        <a:stretch/>
      </xdr:blipFill>
      <xdr:spPr>
        <a:xfrm>
          <a:off x="1243262" y="220578"/>
          <a:ext cx="875975" cy="601579"/>
        </a:xfrm>
        <a:prstGeom prst="rect">
          <a:avLst/>
        </a:prstGeom>
      </xdr:spPr>
    </xdr:pic>
    <xdr:clientData/>
  </xdr:twoCellAnchor>
  <xdr:twoCellAnchor editAs="oneCell">
    <xdr:from>
      <xdr:col>1</xdr:col>
      <xdr:colOff>70184</xdr:colOff>
      <xdr:row>5</xdr:row>
      <xdr:rowOff>50132</xdr:rowOff>
    </xdr:from>
    <xdr:to>
      <xdr:col>1</xdr:col>
      <xdr:colOff>551447</xdr:colOff>
      <xdr:row>6</xdr:row>
      <xdr:rowOff>130343</xdr:rowOff>
    </xdr:to>
    <xdr:pic macro="[0]!DesbloquearEntrada"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447" y="260685"/>
          <a:ext cx="481263" cy="481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711867</xdr:colOff>
      <xdr:row>4</xdr:row>
      <xdr:rowOff>10027</xdr:rowOff>
    </xdr:from>
    <xdr:to>
      <xdr:col>3</xdr:col>
      <xdr:colOff>1183104</xdr:colOff>
      <xdr:row>6</xdr:row>
      <xdr:rowOff>19895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499" y="220580"/>
          <a:ext cx="471237" cy="621473"/>
        </a:xfrm>
        <a:prstGeom prst="rect">
          <a:avLst/>
        </a:prstGeom>
      </xdr:spPr>
    </xdr:pic>
    <xdr:clientData/>
  </xdr:twoCellAnchor>
  <xdr:twoCellAnchor editAs="oneCell">
    <xdr:from>
      <xdr:col>2</xdr:col>
      <xdr:colOff>441161</xdr:colOff>
      <xdr:row>4</xdr:row>
      <xdr:rowOff>55689</xdr:rowOff>
    </xdr:from>
    <xdr:to>
      <xdr:col>3</xdr:col>
      <xdr:colOff>491291</xdr:colOff>
      <xdr:row>6</xdr:row>
      <xdr:rowOff>43131</xdr:rowOff>
    </xdr:to>
    <xdr:pic macro="[0]!EliminarFilas"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2366"/>
        <a:stretch/>
      </xdr:blipFill>
      <xdr:spPr>
        <a:xfrm>
          <a:off x="1433766" y="266242"/>
          <a:ext cx="872288" cy="59904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260683</xdr:colOff>
      <xdr:row>2</xdr:row>
      <xdr:rowOff>5012</xdr:rowOff>
    </xdr:from>
    <xdr:to>
      <xdr:col>3</xdr:col>
      <xdr:colOff>820954</xdr:colOff>
      <xdr:row>3</xdr:row>
      <xdr:rowOff>81952</xdr:rowOff>
    </xdr:to>
    <xdr:pic macro="[0]!HistorialMovimiento"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5736" y="175459"/>
          <a:ext cx="560271" cy="477993"/>
        </a:xfrm>
        <a:prstGeom prst="rect">
          <a:avLst/>
        </a:prstGeom>
      </xdr:spPr>
    </xdr:pic>
    <xdr:clientData/>
  </xdr:twoCellAnchor>
  <xdr:twoCellAnchor editAs="oneCell">
    <xdr:from>
      <xdr:col>1</xdr:col>
      <xdr:colOff>60157</xdr:colOff>
      <xdr:row>0</xdr:row>
      <xdr:rowOff>131457</xdr:rowOff>
    </xdr:from>
    <xdr:to>
      <xdr:col>1</xdr:col>
      <xdr:colOff>521368</xdr:colOff>
      <xdr:row>2</xdr:row>
      <xdr:rowOff>383348</xdr:rowOff>
    </xdr:to>
    <xdr:pic>
      <xdr:nvPicPr>
        <xdr:cNvPr id="5" name="Imagen 4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15" y="131457"/>
          <a:ext cx="461211" cy="6003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1100666</xdr:colOff>
      <xdr:row>4</xdr:row>
      <xdr:rowOff>74083</xdr:rowOff>
    </xdr:from>
    <xdr:to>
      <xdr:col>3</xdr:col>
      <xdr:colOff>1719791</xdr:colOff>
      <xdr:row>6</xdr:row>
      <xdr:rowOff>178953</xdr:rowOff>
    </xdr:to>
    <xdr:pic macro="[0]!ActualizarProductos"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0416" y="1058333"/>
          <a:ext cx="619125" cy="528204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4</xdr:row>
      <xdr:rowOff>10583</xdr:rowOff>
    </xdr:from>
    <xdr:to>
      <xdr:col>4</xdr:col>
      <xdr:colOff>685762</xdr:colOff>
      <xdr:row>6</xdr:row>
      <xdr:rowOff>149224</xdr:rowOff>
    </xdr:to>
    <xdr:pic>
      <xdr:nvPicPr>
        <xdr:cNvPr id="4" name="Imagen 3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994833"/>
          <a:ext cx="431762" cy="5619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276225</xdr:colOff>
      <xdr:row>0</xdr:row>
      <xdr:rowOff>222251</xdr:rowOff>
    </xdr:from>
    <xdr:to>
      <xdr:col>8</xdr:col>
      <xdr:colOff>676275</xdr:colOff>
      <xdr:row>2</xdr:row>
      <xdr:rowOff>152400</xdr:rowOff>
    </xdr:to>
    <xdr:pic>
      <xdr:nvPicPr>
        <xdr:cNvPr id="4" name="Imagen 3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86925" y="222251"/>
          <a:ext cx="400050" cy="520699"/>
        </a:xfrm>
        <a:prstGeom prst="rect">
          <a:avLst/>
        </a:prstGeom>
      </xdr:spPr>
    </xdr:pic>
    <xdr:clientData fPrintsWithSheet="0"/>
  </xdr:twoCellAnchor>
  <xdr:twoCellAnchor>
    <xdr:from>
      <xdr:col>3</xdr:col>
      <xdr:colOff>38100</xdr:colOff>
      <xdr:row>1</xdr:row>
      <xdr:rowOff>1</xdr:rowOff>
    </xdr:from>
    <xdr:to>
      <xdr:col>5</xdr:col>
      <xdr:colOff>66675</xdr:colOff>
      <xdr:row>3</xdr:row>
      <xdr:rowOff>66676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981700" y="257176"/>
          <a:ext cx="1657350" cy="60960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228600</xdr:colOff>
      <xdr:row>3</xdr:row>
      <xdr:rowOff>95250</xdr:rowOff>
    </xdr:from>
    <xdr:to>
      <xdr:col>9</xdr:col>
      <xdr:colOff>0</xdr:colOff>
      <xdr:row>5</xdr:row>
      <xdr:rowOff>76200</xdr:rowOff>
    </xdr:to>
    <xdr:sp macro="[0]!PDFD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00" y="895350"/>
          <a:ext cx="609600" cy="4000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latin typeface="Arial Black" panose="020B0A04020102020204" pitchFamily="34" charset="0"/>
            </a:rPr>
            <a:t>PDF</a:t>
          </a:r>
        </a:p>
      </xdr:txBody>
    </xdr:sp>
    <xdr:clientData/>
  </xdr:twoCellAnchor>
  <xdr:twoCellAnchor>
    <xdr:from>
      <xdr:col>1</xdr:col>
      <xdr:colOff>533400</xdr:colOff>
      <xdr:row>0</xdr:row>
      <xdr:rowOff>57150</xdr:rowOff>
    </xdr:from>
    <xdr:to>
      <xdr:col>2</xdr:col>
      <xdr:colOff>1838326</xdr:colOff>
      <xdr:row>4</xdr:row>
      <xdr:rowOff>114300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1343025" y="57150"/>
          <a:ext cx="3048001" cy="1066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500" b="1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ZUTEN INDUSTRIAL.</a:t>
          </a:r>
          <a:endParaRPr lang="en-US" sz="1500" b="1" baseline="0">
            <a:solidFill>
              <a:schemeClr val="accent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11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Tu aliado en la construccion</a:t>
          </a:r>
        </a:p>
        <a:p>
          <a:pPr algn="l"/>
          <a:r>
            <a:rPr lang="en-US" sz="11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Telf: (829) 732-1674</a:t>
          </a:r>
        </a:p>
        <a:p>
          <a:pPr algn="l"/>
          <a:r>
            <a:rPr lang="en-US" sz="11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RNC: 103225600-96</a:t>
          </a:r>
          <a:endParaRPr lang="en-US" sz="1100">
            <a:solidFill>
              <a:schemeClr val="accent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91747</xdr:colOff>
      <xdr:row>4</xdr:row>
      <xdr:rowOff>133350</xdr:rowOff>
    </xdr:from>
    <xdr:to>
      <xdr:col>5</xdr:col>
      <xdr:colOff>9524</xdr:colOff>
      <xdr:row>7</xdr:row>
      <xdr:rowOff>0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4806622" y="1143000"/>
          <a:ext cx="1679902" cy="495300"/>
          <a:chOff x="4238951" y="1066800"/>
          <a:chExt cx="1256974" cy="466725"/>
        </a:xfrm>
      </xdr:grpSpPr>
      <xdr:sp macro="" textlink="">
        <xdr:nvSpPr>
          <xdr:cNvPr id="10" name="Rectángulo: esquinas superiores redondeadas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4241871" y="1066800"/>
            <a:ext cx="449102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DIA</a:t>
            </a:r>
          </a:p>
        </xdr:txBody>
      </xdr:sp>
      <xdr:sp macro="" textlink="">
        <xdr:nvSpPr>
          <xdr:cNvPr id="11" name="Rectángulo: esquinas superiores redondeadas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4709287" y="1066800"/>
            <a:ext cx="388133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MES</a:t>
            </a:r>
          </a:p>
        </xdr:txBody>
      </xdr:sp>
      <xdr:sp macro="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5120323" y="1066800"/>
            <a:ext cx="375602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AÑO</a:t>
            </a:r>
          </a:p>
        </xdr:txBody>
      </xdr:sp>
      <xdr:sp macro="" textlink="$I$3">
        <xdr:nvSpPr>
          <xdr:cNvPr id="13" name="Rectángulo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4238951" y="1323975"/>
            <a:ext cx="442497" cy="209550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70E50D7-FBE0-4387-B3F2-26A05E4D1D41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25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$J$3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4710361" y="1314449"/>
            <a:ext cx="381614" cy="219075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DE9C29-5837-4DA2-8151-02915E117EFC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6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$K$3">
        <xdr:nvSpPr>
          <xdr:cNvPr id="15" name="Rectángul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5120323" y="1314449"/>
            <a:ext cx="366076" cy="219075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5D62E47-0773-442C-8DC9-4806458381A4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2020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3</xdr:col>
      <xdr:colOff>104775</xdr:colOff>
      <xdr:row>1</xdr:row>
      <xdr:rowOff>9525</xdr:rowOff>
    </xdr:from>
    <xdr:to>
      <xdr:col>5</xdr:col>
      <xdr:colOff>0</xdr:colOff>
      <xdr:row>3</xdr:row>
      <xdr:rowOff>152400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819650" y="266700"/>
          <a:ext cx="1657350" cy="685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38098</xdr:colOff>
      <xdr:row>0</xdr:row>
      <xdr:rowOff>95251</xdr:rowOff>
    </xdr:from>
    <xdr:to>
      <xdr:col>2</xdr:col>
      <xdr:colOff>1952624</xdr:colOff>
      <xdr:row>4</xdr:row>
      <xdr:rowOff>152401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38098" y="95251"/>
          <a:ext cx="3048001" cy="1066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500" b="1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ZUTEN INDUSTRIAL.</a:t>
          </a:r>
          <a:endParaRPr lang="en-US" sz="1500" b="1" baseline="0">
            <a:solidFill>
              <a:schemeClr val="accent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r>
            <a:rPr lang="en-US" sz="11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Tu aliado en la construccion</a:t>
          </a:r>
        </a:p>
        <a:p>
          <a:pPr algn="l"/>
          <a:r>
            <a:rPr lang="en-US" sz="11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Telf: (829) 732-1674</a:t>
          </a:r>
        </a:p>
        <a:p>
          <a:pPr algn="l"/>
          <a:r>
            <a:rPr lang="en-US" sz="1100" baseline="0">
              <a:solidFill>
                <a:schemeClr val="accent1"/>
              </a:solidFill>
              <a:latin typeface="Segoe UI" panose="020B0502040204020203" pitchFamily="34" charset="0"/>
              <a:cs typeface="Segoe UI" panose="020B0502040204020203" pitchFamily="34" charset="0"/>
            </a:rPr>
            <a:t>RNC: 103225600-96</a:t>
          </a:r>
          <a:endParaRPr lang="en-US" sz="1100">
            <a:solidFill>
              <a:schemeClr val="accent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12</xdr:col>
      <xdr:colOff>409575</xdr:colOff>
      <xdr:row>0</xdr:row>
      <xdr:rowOff>190500</xdr:rowOff>
    </xdr:from>
    <xdr:to>
      <xdr:col>12</xdr:col>
      <xdr:colOff>809625</xdr:colOff>
      <xdr:row>2</xdr:row>
      <xdr:rowOff>120649</xdr:rowOff>
    </xdr:to>
    <xdr:pic>
      <xdr:nvPicPr>
        <xdr:cNvPr id="18" name="Imagen 17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90500"/>
          <a:ext cx="400050" cy="520699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19050</xdr:colOff>
      <xdr:row>56</xdr:row>
      <xdr:rowOff>123825</xdr:rowOff>
    </xdr:from>
    <xdr:to>
      <xdr:col>2</xdr:col>
      <xdr:colOff>1533525</xdr:colOff>
      <xdr:row>60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52400" y="11115675"/>
          <a:ext cx="2514600" cy="800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100" b="1">
            <a:solidFill>
              <a:schemeClr val="accent1"/>
            </a:solidFill>
          </a:endParaRPr>
        </a:p>
        <a:p>
          <a:pPr algn="ctr"/>
          <a:r>
            <a:rPr lang="en-US" sz="1100" b="1">
              <a:solidFill>
                <a:schemeClr val="accent1"/>
              </a:solidFill>
            </a:rPr>
            <a:t>_________________________________</a:t>
          </a:r>
        </a:p>
        <a:p>
          <a:pPr algn="ctr"/>
          <a:r>
            <a:rPr lang="en-US" sz="1100" b="1">
              <a:solidFill>
                <a:schemeClr val="accent1"/>
              </a:solidFill>
            </a:rPr>
            <a:t>Elaborado Por:</a:t>
          </a:r>
        </a:p>
      </xdr:txBody>
    </xdr:sp>
    <xdr:clientData/>
  </xdr:twoCellAnchor>
  <xdr:twoCellAnchor>
    <xdr:from>
      <xdr:col>2</xdr:col>
      <xdr:colOff>2447925</xdr:colOff>
      <xdr:row>56</xdr:row>
      <xdr:rowOff>114300</xdr:rowOff>
    </xdr:from>
    <xdr:to>
      <xdr:col>4</xdr:col>
      <xdr:colOff>581025</xdr:colOff>
      <xdr:row>60</xdr:row>
      <xdr:rowOff>133350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3581400" y="11106150"/>
          <a:ext cx="2667000" cy="857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100" b="1">
            <a:solidFill>
              <a:schemeClr val="accent1"/>
            </a:solidFill>
          </a:endParaRPr>
        </a:p>
        <a:p>
          <a:pPr algn="ctr"/>
          <a:r>
            <a:rPr lang="en-US" sz="1100" b="1">
              <a:solidFill>
                <a:schemeClr val="accent1"/>
              </a:solidFill>
            </a:rPr>
            <a:t>_________________________________</a:t>
          </a:r>
        </a:p>
        <a:p>
          <a:pPr algn="ctr"/>
          <a:r>
            <a:rPr lang="en-US" sz="1100" b="1">
              <a:solidFill>
                <a:schemeClr val="accent1"/>
              </a:solidFill>
            </a:rPr>
            <a:t>Autorizado</a:t>
          </a:r>
          <a:r>
            <a:rPr lang="en-US" sz="1100" b="1" baseline="0">
              <a:solidFill>
                <a:schemeClr val="accent1"/>
              </a:solidFill>
            </a:rPr>
            <a:t> por</a:t>
          </a:r>
          <a:r>
            <a:rPr lang="en-US" sz="1100" b="1">
              <a:solidFill>
                <a:schemeClr val="accent1"/>
              </a:solidFill>
            </a:rPr>
            <a:t>:</a:t>
          </a:r>
        </a:p>
      </xdr:txBody>
    </xdr:sp>
    <xdr:clientData/>
  </xdr:twoCellAnchor>
  <xdr:twoCellAnchor>
    <xdr:from>
      <xdr:col>12</xdr:col>
      <xdr:colOff>342900</xdr:colOff>
      <xdr:row>3</xdr:row>
      <xdr:rowOff>85725</xdr:rowOff>
    </xdr:from>
    <xdr:to>
      <xdr:col>13</xdr:col>
      <xdr:colOff>114300</xdr:colOff>
      <xdr:row>5</xdr:row>
      <xdr:rowOff>66675</xdr:rowOff>
    </xdr:to>
    <xdr:sp macro="[0]!PDF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8582025" y="885825"/>
          <a:ext cx="609600" cy="40005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latin typeface="Arial Black" panose="020B0A04020102020204" pitchFamily="34" charset="0"/>
            </a:rPr>
            <a:t>PDF</a:t>
          </a:r>
        </a:p>
      </xdr:txBody>
    </xdr:sp>
    <xdr:clientData/>
  </xdr:twoCellAnchor>
  <xdr:twoCellAnchor>
    <xdr:from>
      <xdr:col>14</xdr:col>
      <xdr:colOff>161925</xdr:colOff>
      <xdr:row>1</xdr:row>
      <xdr:rowOff>19050</xdr:rowOff>
    </xdr:from>
    <xdr:to>
      <xdr:col>18</xdr:col>
      <xdr:colOff>152400</xdr:colOff>
      <xdr:row>2</xdr:row>
      <xdr:rowOff>38100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10077450" y="276225"/>
          <a:ext cx="334327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100"/>
            <a:t>=SI.ERROR(BUSCARV(B14;Productos!A:D;4;0);"")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Entradas" displayName="TablaEntradas" ref="B9:J35" totalsRowShown="0" headerRowDxfId="35" dataDxfId="34">
  <autoFilter ref="B9:J35" xr:uid="{00000000-000C-0000-FFFF-FFFF00000000}"/>
  <tableColumns count="9">
    <tableColumn id="1" xr3:uid="{00000000-0010-0000-0000-000001000000}" name="Fecha" dataDxfId="33"/>
    <tableColumn id="2" xr3:uid="{00000000-0010-0000-0000-000002000000}" name="N_Doc" dataDxfId="32"/>
    <tableColumn id="3" xr3:uid="{00000000-0010-0000-0000-000003000000}" name="Proveedor" dataDxfId="31"/>
    <tableColumn id="5" xr3:uid="{00000000-0010-0000-0000-000005000000}" name="Código" dataDxfId="30"/>
    <tableColumn id="11" xr3:uid="{00000000-0010-0000-0000-00000B000000}" name="Categoría" dataDxfId="29"/>
    <tableColumn id="6" xr3:uid="{00000000-0010-0000-0000-000006000000}" name="Producto" dataDxfId="28"/>
    <tableColumn id="7" xr3:uid="{00000000-0010-0000-0000-000007000000}" name="Und" dataDxfId="27"/>
    <tableColumn id="4" xr3:uid="{00000000-0010-0000-0000-000004000000}" name="Comentario" dataDxfId="26"/>
    <tableColumn id="8" xr3:uid="{00000000-0010-0000-0000-000008000000}" name="Cantidad" dataDxfId="25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Salidas" displayName="TablaSalidas" ref="B9:I30" totalsRowShown="0" headerRowDxfId="24" dataDxfId="23" headerRowCellStyle="Moneda">
  <autoFilter ref="B9:I30" xr:uid="{00000000-000C-0000-FFFF-FFFF01000000}"/>
  <tableColumns count="8">
    <tableColumn id="2" xr3:uid="{00000000-0010-0000-0100-000002000000}" name="Fecha" dataDxfId="22"/>
    <tableColumn id="1" xr3:uid="{00000000-0010-0000-0100-000001000000}" name="N_Doc" dataDxfId="21"/>
    <tableColumn id="3" xr3:uid="{00000000-0010-0000-0100-000003000000}" name="Clientes" dataDxfId="20"/>
    <tableColumn id="5" xr3:uid="{00000000-0010-0000-0100-000005000000}" name="Código" dataDxfId="19"/>
    <tableColumn id="15" xr3:uid="{00000000-0010-0000-0100-00000F000000}" name="Categoría" dataDxfId="18"/>
    <tableColumn id="6" xr3:uid="{00000000-0010-0000-0100-000006000000}" name="Producto" dataDxfId="17"/>
    <tableColumn id="4" xr3:uid="{00000000-0010-0000-0100-000004000000}" name="Comentario" dataDxfId="16"/>
    <tableColumn id="8" xr3:uid="{00000000-0010-0000-0100-000008000000}" name="Cantidad" dataDxfId="15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PrintCompras" displayName="TablaPrintCompras" ref="A9:E11" headerRowDxfId="14" headerRowBorderDxfId="13" tableBorderDxfId="12" headerRowCellStyle="Moneda">
  <tableColumns count="5">
    <tableColumn id="1" xr3:uid="{00000000-0010-0000-0200-000001000000}" name="Código" totalsRowLabel="Total" dataDxfId="11" totalsRowDxfId="10"/>
    <tableColumn id="8" xr3:uid="{00000000-0010-0000-0200-000008000000}" name="Categoría" dataDxfId="9" totalsRowDxfId="8"/>
    <tableColumn id="2" xr3:uid="{00000000-0010-0000-0200-000002000000}" name="Producto" dataDxfId="7" totalsRowDxfId="6"/>
    <tableColumn id="4" xr3:uid="{00000000-0010-0000-0200-000004000000}" name="Medida" dataDxfId="5" totalsRowDxfId="4"/>
    <tableColumn id="5" xr3:uid="{00000000-0010-0000-0200-000005000000}" name="Cantidad" dataDxfId="3" totalsRowDxfId="2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1"/>
  <dimension ref="B1:N18"/>
  <sheetViews>
    <sheetView showGridLines="0" tabSelected="1" workbookViewId="0"/>
  </sheetViews>
  <sheetFormatPr baseColWidth="10" defaultRowHeight="16.5" x14ac:dyDescent="0.3"/>
  <cols>
    <col min="1" max="1" width="4.625" style="9" customWidth="1"/>
    <col min="2" max="8" width="11" style="9"/>
    <col min="9" max="9" width="13.375" style="9" customWidth="1"/>
    <col min="10" max="10" width="11.75" style="9" customWidth="1"/>
    <col min="11" max="16384" width="11" style="9"/>
  </cols>
  <sheetData>
    <row r="1" spans="2:14" ht="14.25" customHeight="1" x14ac:dyDescent="0.3"/>
    <row r="2" spans="2:14" x14ac:dyDescent="0.3">
      <c r="N2" s="112"/>
    </row>
    <row r="3" spans="2:14" ht="31.5" thickBot="1" x14ac:dyDescent="0.6">
      <c r="B3" s="118" t="s">
        <v>76</v>
      </c>
      <c r="C3" s="118"/>
      <c r="D3" s="118"/>
      <c r="E3" s="118"/>
      <c r="F3" s="118"/>
      <c r="G3" s="118"/>
      <c r="H3" s="118"/>
    </row>
    <row r="4" spans="2:14" ht="18.75" customHeight="1" thickTop="1" x14ac:dyDescent="0.3"/>
    <row r="5" spans="2:14" x14ac:dyDescent="0.3">
      <c r="K5" s="113"/>
    </row>
    <row r="6" spans="2:14" x14ac:dyDescent="0.3">
      <c r="K6" s="113"/>
    </row>
    <row r="7" spans="2:14" ht="18.75" customHeight="1" x14ac:dyDescent="0.3"/>
    <row r="8" spans="2:14" ht="11.25" customHeight="1" x14ac:dyDescent="0.3"/>
    <row r="9" spans="2:14" x14ac:dyDescent="0.3">
      <c r="J9" s="114"/>
    </row>
    <row r="10" spans="2:14" x14ac:dyDescent="0.3">
      <c r="J10" s="115"/>
    </row>
    <row r="11" spans="2:14" x14ac:dyDescent="0.3">
      <c r="J11" s="115"/>
    </row>
    <row r="17" spans="2:8" ht="17.25" thickBot="1" x14ac:dyDescent="0.35">
      <c r="B17" s="116"/>
      <c r="C17" s="116"/>
      <c r="D17" s="116"/>
      <c r="E17" s="116"/>
      <c r="F17" s="116"/>
      <c r="G17" s="116"/>
      <c r="H17" s="116"/>
    </row>
    <row r="18" spans="2:8" ht="17.25" thickTop="1" x14ac:dyDescent="0.3"/>
  </sheetData>
  <sheetProtection formatCells="0" formatColumns="0" formatRows="0"/>
  <mergeCells count="1">
    <mergeCell ref="B3:H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P40"/>
  <sheetViews>
    <sheetView workbookViewId="0">
      <selection activeCell="D4" sqref="D4"/>
    </sheetView>
  </sheetViews>
  <sheetFormatPr baseColWidth="10" defaultRowHeight="15" x14ac:dyDescent="0.25"/>
  <cols>
    <col min="1" max="1" width="12.25" style="3" customWidth="1"/>
    <col min="2" max="2" width="11" style="3"/>
    <col min="3" max="3" width="12.25" style="3" customWidth="1"/>
    <col min="4" max="4" width="30.5" style="3" customWidth="1"/>
    <col min="5" max="5" width="13.625" style="3" customWidth="1"/>
    <col min="6" max="6" width="11" style="3"/>
    <col min="7" max="7" width="8.5" style="3" customWidth="1"/>
    <col min="8" max="8" width="11" style="3"/>
    <col min="9" max="9" width="8" style="3" customWidth="1"/>
    <col min="10" max="11" width="3" style="3" customWidth="1"/>
    <col min="12" max="12" width="2.375" style="3" customWidth="1"/>
    <col min="13" max="13" width="13" style="3" customWidth="1"/>
    <col min="14" max="14" width="11" style="3"/>
    <col min="15" max="15" width="15.375" style="3" customWidth="1"/>
    <col min="16" max="16384" width="11" style="3"/>
  </cols>
  <sheetData>
    <row r="1" spans="1:16" ht="16.5" customHeight="1" x14ac:dyDescent="0.25">
      <c r="F1" s="122" t="s">
        <v>17</v>
      </c>
      <c r="G1" s="120"/>
      <c r="H1" s="120"/>
      <c r="M1" s="3" t="s">
        <v>52</v>
      </c>
      <c r="N1" s="40"/>
      <c r="O1" s="42" t="s">
        <v>53</v>
      </c>
      <c r="P1" s="40"/>
    </row>
    <row r="2" spans="1:16" x14ac:dyDescent="0.25">
      <c r="F2" s="122"/>
      <c r="G2" s="120"/>
      <c r="H2" s="120"/>
      <c r="M2" s="42" t="s">
        <v>37</v>
      </c>
      <c r="N2" s="40">
        <f>SUMIF(M5:M1048576,CodProducto_Venta,N5:N1048576)</f>
        <v>0</v>
      </c>
      <c r="O2" s="40">
        <f>SUMIFS(Salidas!I:I,Salidas!E:E,CodProducto_Venta,Salidas!C:C,Calculos!N1)</f>
        <v>0</v>
      </c>
      <c r="P2" s="40"/>
    </row>
    <row r="3" spans="1:16" ht="16.5" x14ac:dyDescent="0.3">
      <c r="F3" s="36">
        <f>SUMIFS(TablaEntradas[Cantidad],TablaEntradas[Código],Productos!$A3)-SUMIFS(TablaSalidas[Cantidad],TablaSalidas[Código],Productos!$A3)</f>
        <v>0</v>
      </c>
      <c r="G3" s="2"/>
      <c r="H3" s="94"/>
      <c r="M3" s="42" t="s">
        <v>36</v>
      </c>
      <c r="N3" s="40"/>
    </row>
    <row r="4" spans="1:16" x14ac:dyDescent="0.25">
      <c r="A4" s="121" t="s">
        <v>11</v>
      </c>
      <c r="B4" s="121"/>
      <c r="C4" s="121"/>
      <c r="D4" s="4" t="s">
        <v>54</v>
      </c>
      <c r="M4" s="41" t="s">
        <v>0</v>
      </c>
      <c r="N4" s="41" t="s">
        <v>8</v>
      </c>
    </row>
    <row r="5" spans="1:16" x14ac:dyDescent="0.25">
      <c r="A5" s="119" t="s">
        <v>12</v>
      </c>
      <c r="B5" s="119"/>
      <c r="C5" s="119"/>
      <c r="D5" s="5" t="str">
        <f>IFERROR(VLOOKUP(CodProducto_Compra,Productos!A:D,3,0),"")</f>
        <v/>
      </c>
      <c r="E5" s="38" t="str">
        <f>IFERROR(VLOOKUP(CodProducto_Compra,Productos!A:D,2,0),"")</f>
        <v/>
      </c>
      <c r="M5" s="40"/>
    </row>
    <row r="6" spans="1:16" x14ac:dyDescent="0.25">
      <c r="A6" s="119" t="s">
        <v>13</v>
      </c>
      <c r="B6" s="119"/>
      <c r="C6" s="119"/>
      <c r="D6" s="4" t="str">
        <f>IFERROR(VLOOKUP(CodProducto_Compra,Productos!A:E,4,0),"")</f>
        <v/>
      </c>
      <c r="E6" s="40"/>
      <c r="M6" s="40"/>
    </row>
    <row r="7" spans="1:16" x14ac:dyDescent="0.25">
      <c r="M7" s="40"/>
    </row>
    <row r="8" spans="1:16" x14ac:dyDescent="0.25">
      <c r="A8" s="121" t="s">
        <v>14</v>
      </c>
      <c r="B8" s="121"/>
      <c r="C8" s="121"/>
      <c r="D8" s="4" t="s">
        <v>77</v>
      </c>
      <c r="M8" s="40"/>
    </row>
    <row r="9" spans="1:16" x14ac:dyDescent="0.25">
      <c r="A9" s="119" t="s">
        <v>15</v>
      </c>
      <c r="B9" s="119"/>
      <c r="C9" s="119"/>
      <c r="D9" s="5" t="str">
        <f>IFERROR(VLOOKUP(CodProducto_Venta,Productos!A:D,3,0),"")</f>
        <v/>
      </c>
      <c r="E9" s="38" t="str">
        <f>IFERROR(VLOOKUP(CodProducto_Venta,Productos!A:D,2,0),"")</f>
        <v/>
      </c>
      <c r="M9" s="40"/>
    </row>
    <row r="10" spans="1:16" x14ac:dyDescent="0.25">
      <c r="A10" s="119" t="s">
        <v>16</v>
      </c>
      <c r="B10" s="119"/>
      <c r="C10" s="119"/>
      <c r="D10" s="4" t="str">
        <f>IFERROR(VLOOKUP(CodProducto_Venta,Productos!A:E,4,0),"")</f>
        <v/>
      </c>
      <c r="M10" s="40"/>
    </row>
    <row r="11" spans="1:16" x14ac:dyDescent="0.25">
      <c r="A11" s="119" t="s">
        <v>19</v>
      </c>
      <c r="B11" s="119"/>
      <c r="C11" s="119"/>
      <c r="D11" s="4" t="str">
        <f>IFERROR(VLOOKUP(CodProducto_Venta,Productos!A:E,5,0)-N2-N3+O2,"")</f>
        <v/>
      </c>
      <c r="M11" s="40"/>
    </row>
    <row r="12" spans="1:16" x14ac:dyDescent="0.25">
      <c r="A12" s="119" t="s">
        <v>18</v>
      </c>
      <c r="B12" s="119"/>
      <c r="C12" s="119"/>
      <c r="D12" s="4" t="str">
        <f>IFERROR(VLOOKUP(CodProducto_Venta,Productos!A:E,6,0),"")</f>
        <v/>
      </c>
      <c r="M12" s="40"/>
    </row>
    <row r="13" spans="1:16" x14ac:dyDescent="0.25">
      <c r="A13" s="119" t="s">
        <v>20</v>
      </c>
      <c r="B13" s="119"/>
      <c r="C13" s="119"/>
      <c r="D13" s="4" t="str">
        <f>IFERROR(VLOOKUP(CodProducto_Venta,Productos!A:E,5,0),"")</f>
        <v/>
      </c>
      <c r="M13" s="40"/>
    </row>
    <row r="14" spans="1:16" ht="16.5" x14ac:dyDescent="0.3">
      <c r="D14" s="6"/>
      <c r="M14" s="40"/>
    </row>
    <row r="15" spans="1:16" x14ac:dyDescent="0.25">
      <c r="A15" s="119" t="s">
        <v>33</v>
      </c>
      <c r="B15" s="119"/>
      <c r="C15" s="119"/>
      <c r="D15" s="4" t="str">
        <f>IFERROR(MATCH(TEXT(E15,"@"),Entradas!C:C,0),"0")</f>
        <v>0</v>
      </c>
      <c r="E15" s="82" t="s">
        <v>67</v>
      </c>
      <c r="M15" s="40"/>
    </row>
    <row r="16" spans="1:16" x14ac:dyDescent="0.25">
      <c r="A16" s="119" t="s">
        <v>34</v>
      </c>
      <c r="B16" s="119"/>
      <c r="C16" s="119"/>
      <c r="D16" s="4" t="str">
        <f>IFERROR(MATCH(TEXT(E16,"@"),Salidas!C:C,0),"0")</f>
        <v>0</v>
      </c>
      <c r="E16" s="82" t="s">
        <v>67</v>
      </c>
      <c r="M16" s="40"/>
    </row>
    <row r="17" spans="1:13" x14ac:dyDescent="0.25">
      <c r="M17" s="40"/>
    </row>
    <row r="18" spans="1:13" x14ac:dyDescent="0.25">
      <c r="A18" s="119" t="s">
        <v>38</v>
      </c>
      <c r="B18" s="119"/>
      <c r="C18" s="119"/>
      <c r="D18" s="4">
        <f>IFERROR(MATCH(TEXT(PrintCompras!E3,"@"),Entradas!C:C,0),0)</f>
        <v>0</v>
      </c>
      <c r="M18" s="40"/>
    </row>
    <row r="19" spans="1:13" x14ac:dyDescent="0.25">
      <c r="A19" s="119" t="s">
        <v>39</v>
      </c>
      <c r="B19" s="119"/>
      <c r="C19" s="119"/>
      <c r="D19" s="4">
        <f>IFERROR(MATCH(TEXT(PrintVentas!E3,"@"),Salidas!C:C,0),0)</f>
        <v>0</v>
      </c>
      <c r="M19" s="40"/>
    </row>
    <row r="20" spans="1:13" x14ac:dyDescent="0.25">
      <c r="M20" s="40"/>
    </row>
    <row r="21" spans="1:13" x14ac:dyDescent="0.25">
      <c r="A21" s="119" t="s">
        <v>58</v>
      </c>
      <c r="B21" s="119"/>
      <c r="C21" s="119"/>
      <c r="D21" s="82"/>
      <c r="E21" s="40">
        <f>IF(D21&lt;&gt;"",1,0)</f>
        <v>0</v>
      </c>
      <c r="M21" s="40"/>
    </row>
    <row r="22" spans="1:13" x14ac:dyDescent="0.25">
      <c r="A22" s="119" t="s">
        <v>59</v>
      </c>
      <c r="B22" s="119"/>
      <c r="C22" s="119"/>
      <c r="D22" s="82"/>
      <c r="E22" s="40">
        <f>IF(D22&lt;&gt;"",1,0)</f>
        <v>0</v>
      </c>
      <c r="M22" s="40"/>
    </row>
    <row r="23" spans="1:13" x14ac:dyDescent="0.25">
      <c r="M23" s="40"/>
    </row>
    <row r="24" spans="1:13" x14ac:dyDescent="0.25">
      <c r="M24" s="40"/>
    </row>
    <row r="25" spans="1:13" x14ac:dyDescent="0.25">
      <c r="M25" s="40"/>
    </row>
    <row r="26" spans="1:13" x14ac:dyDescent="0.25">
      <c r="M26" s="40"/>
    </row>
    <row r="27" spans="1:13" x14ac:dyDescent="0.25">
      <c r="M27" s="40"/>
    </row>
    <row r="28" spans="1:13" x14ac:dyDescent="0.25">
      <c r="M28" s="40"/>
    </row>
    <row r="29" spans="1:13" x14ac:dyDescent="0.25">
      <c r="M29" s="40"/>
    </row>
    <row r="30" spans="1:13" x14ac:dyDescent="0.25">
      <c r="M30" s="40"/>
    </row>
    <row r="31" spans="1:13" x14ac:dyDescent="0.25">
      <c r="M31" s="40"/>
    </row>
    <row r="32" spans="1:13" x14ac:dyDescent="0.25">
      <c r="M32" s="40"/>
    </row>
    <row r="33" spans="13:13" x14ac:dyDescent="0.25">
      <c r="M33" s="40"/>
    </row>
    <row r="34" spans="13:13" x14ac:dyDescent="0.25">
      <c r="M34" s="40"/>
    </row>
    <row r="35" spans="13:13" x14ac:dyDescent="0.25">
      <c r="M35" s="40"/>
    </row>
    <row r="36" spans="13:13" x14ac:dyDescent="0.25">
      <c r="M36" s="40"/>
    </row>
    <row r="37" spans="13:13" x14ac:dyDescent="0.25">
      <c r="M37" s="40"/>
    </row>
    <row r="38" spans="13:13" x14ac:dyDescent="0.25">
      <c r="M38" s="40"/>
    </row>
    <row r="39" spans="13:13" x14ac:dyDescent="0.25">
      <c r="M39" s="40"/>
    </row>
    <row r="40" spans="13:13" x14ac:dyDescent="0.25">
      <c r="M40" s="40"/>
    </row>
  </sheetData>
  <mergeCells count="18">
    <mergeCell ref="A21:C21"/>
    <mergeCell ref="A22:C22"/>
    <mergeCell ref="A18:C18"/>
    <mergeCell ref="A19:C19"/>
    <mergeCell ref="A16:C16"/>
    <mergeCell ref="A15:C15"/>
    <mergeCell ref="H1:H2"/>
    <mergeCell ref="G1:G2"/>
    <mergeCell ref="A4:C4"/>
    <mergeCell ref="A5:C5"/>
    <mergeCell ref="A6:C6"/>
    <mergeCell ref="A11:C11"/>
    <mergeCell ref="A12:C12"/>
    <mergeCell ref="A13:C13"/>
    <mergeCell ref="A10:C10"/>
    <mergeCell ref="F1:F2"/>
    <mergeCell ref="A8:C8"/>
    <mergeCell ref="A9:C9"/>
  </mergeCells>
  <conditionalFormatting sqref="F3:H3">
    <cfRule type="expression" dxfId="39" priority="1">
      <formula>AND($C3&lt;&gt;"",$E3="")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E100"/>
  <sheetViews>
    <sheetView workbookViewId="0">
      <selection activeCell="E1" sqref="E1:E2"/>
    </sheetView>
  </sheetViews>
  <sheetFormatPr baseColWidth="10" defaultRowHeight="16.5" x14ac:dyDescent="0.3"/>
  <cols>
    <col min="1" max="1" width="11" style="1"/>
    <col min="2" max="2" width="19.375" style="1" customWidth="1"/>
    <col min="3" max="3" width="51.375" style="2" customWidth="1"/>
    <col min="4" max="4" width="11" style="1"/>
    <col min="5" max="5" width="11" style="79" hidden="1" customWidth="1"/>
    <col min="6" max="16384" width="11" style="61"/>
  </cols>
  <sheetData>
    <row r="1" spans="1:5" s="47" customFormat="1" x14ac:dyDescent="0.3">
      <c r="A1" s="7" t="s">
        <v>0</v>
      </c>
      <c r="B1" s="7" t="s">
        <v>35</v>
      </c>
      <c r="C1" s="7" t="s">
        <v>1</v>
      </c>
      <c r="D1" s="7" t="s">
        <v>2</v>
      </c>
      <c r="E1" s="8">
        <f>SUMIFS(TablaEntradas[Cantidad],TablaEntradas[Código],Productos!$A1)-SUMIFS(TablaSalidas[Cantidad],TablaSalidas[Código],Productos!$A1)</f>
        <v>0</v>
      </c>
    </row>
    <row r="2" spans="1:5" x14ac:dyDescent="0.3">
      <c r="C2" s="117"/>
      <c r="E2" s="78">
        <f>SUMIFS(TablaEntradas[Cantidad],TablaEntradas[Código],Productos!$A2)-SUMIFS(TablaSalidas[Cantidad],TablaSalidas[Código],Productos!$A2)</f>
        <v>0</v>
      </c>
    </row>
    <row r="3" spans="1:5" x14ac:dyDescent="0.3">
      <c r="C3" s="117"/>
      <c r="E3" s="78">
        <f>SUMIFS(TablaEntradas[Cantidad],TablaEntradas[Código],Productos!$A3)-SUMIFS(TablaSalidas[Cantidad],TablaSalidas[Código],Productos!$A3)</f>
        <v>0</v>
      </c>
    </row>
    <row r="4" spans="1:5" x14ac:dyDescent="0.3">
      <c r="C4" s="117"/>
      <c r="E4" s="78">
        <f>SUMIFS(TablaEntradas[Cantidad],TablaEntradas[Código],Productos!$A4)-SUMIFS(TablaSalidas[Cantidad],TablaSalidas[Código],Productos!$A4)</f>
        <v>0</v>
      </c>
    </row>
    <row r="5" spans="1:5" x14ac:dyDescent="0.3">
      <c r="C5" s="117"/>
      <c r="E5" s="78">
        <f>SUMIFS(TablaEntradas[Cantidad],TablaEntradas[Código],Productos!$A5)-SUMIFS(TablaSalidas[Cantidad],TablaSalidas[Código],Productos!$A5)</f>
        <v>0</v>
      </c>
    </row>
    <row r="6" spans="1:5" x14ac:dyDescent="0.3">
      <c r="E6" s="78">
        <f>SUMIFS(TablaEntradas[Cantidad],TablaEntradas[Código],Productos!$A6)-SUMIFS(TablaSalidas[Cantidad],TablaSalidas[Código],Productos!$A6)</f>
        <v>0</v>
      </c>
    </row>
    <row r="7" spans="1:5" x14ac:dyDescent="0.3">
      <c r="E7" s="78">
        <f>SUMIFS(TablaEntradas[Cantidad],TablaEntradas[Código],Productos!$A7)-SUMIFS(TablaSalidas[Cantidad],TablaSalidas[Código],Productos!$A7)</f>
        <v>0</v>
      </c>
    </row>
    <row r="8" spans="1:5" x14ac:dyDescent="0.3">
      <c r="E8" s="78">
        <f>SUMIFS(TablaEntradas[Cantidad],TablaEntradas[Código],Productos!$A8)-SUMIFS(TablaSalidas[Cantidad],TablaSalidas[Código],Productos!$A8)</f>
        <v>0</v>
      </c>
    </row>
    <row r="9" spans="1:5" x14ac:dyDescent="0.3">
      <c r="E9" s="78">
        <f>SUMIFS(TablaEntradas[Cantidad],TablaEntradas[Código],Productos!$A9)-SUMIFS(TablaSalidas[Cantidad],TablaSalidas[Código],Productos!$A9)</f>
        <v>0</v>
      </c>
    </row>
    <row r="10" spans="1:5" x14ac:dyDescent="0.3">
      <c r="E10" s="78">
        <f>SUMIFS(TablaEntradas[Cantidad],TablaEntradas[Código],Productos!$A10)-SUMIFS(TablaSalidas[Cantidad],TablaSalidas[Código],Productos!$A10)</f>
        <v>0</v>
      </c>
    </row>
    <row r="11" spans="1:5" x14ac:dyDescent="0.3">
      <c r="E11" s="78">
        <f>SUMIFS(TablaEntradas[Cantidad],TablaEntradas[Código],Productos!$A11)-SUMIFS(TablaSalidas[Cantidad],TablaSalidas[Código],Productos!$A11)</f>
        <v>0</v>
      </c>
    </row>
    <row r="12" spans="1:5" x14ac:dyDescent="0.3">
      <c r="E12" s="78">
        <f>SUMIFS(TablaEntradas[Cantidad],TablaEntradas[Código],Productos!$A12)-SUMIFS(TablaSalidas[Cantidad],TablaSalidas[Código],Productos!$A12)</f>
        <v>0</v>
      </c>
    </row>
    <row r="13" spans="1:5" x14ac:dyDescent="0.3">
      <c r="E13" s="78">
        <f>SUMIFS(TablaEntradas[Cantidad],TablaEntradas[Código],Productos!$A13)-SUMIFS(TablaSalidas[Cantidad],TablaSalidas[Código],Productos!$A13)</f>
        <v>0</v>
      </c>
    </row>
    <row r="14" spans="1:5" x14ac:dyDescent="0.3">
      <c r="E14" s="78">
        <f>SUMIFS(TablaEntradas[Cantidad],TablaEntradas[Código],Productos!$A14)-SUMIFS(TablaSalidas[Cantidad],TablaSalidas[Código],Productos!$A14)</f>
        <v>0</v>
      </c>
    </row>
    <row r="15" spans="1:5" x14ac:dyDescent="0.3">
      <c r="E15" s="78">
        <f>SUMIFS(TablaEntradas[Cantidad],TablaEntradas[Código],Productos!$A15)-SUMIFS(TablaSalidas[Cantidad],TablaSalidas[Código],Productos!$A15)</f>
        <v>0</v>
      </c>
    </row>
    <row r="16" spans="1:5" x14ac:dyDescent="0.3">
      <c r="E16" s="78">
        <f>SUMIFS(TablaEntradas[Cantidad],TablaEntradas[Código],Productos!$A16)-SUMIFS(TablaSalidas[Cantidad],TablaSalidas[Código],Productos!$A16)</f>
        <v>0</v>
      </c>
    </row>
    <row r="17" spans="5:5" x14ac:dyDescent="0.3">
      <c r="E17" s="79">
        <f>SUMIFS(TablaEntradas[Cantidad],TablaEntradas[Código],Productos!$A17)-SUMIFS(TablaSalidas[Cantidad],TablaSalidas[Código],Productos!$A17)</f>
        <v>0</v>
      </c>
    </row>
    <row r="18" spans="5:5" x14ac:dyDescent="0.3">
      <c r="E18" s="79">
        <f>SUMIFS(TablaEntradas[Cantidad],TablaEntradas[Código],Productos!$A18)-SUMIFS(TablaSalidas[Cantidad],TablaSalidas[Código],Productos!$A18)</f>
        <v>0</v>
      </c>
    </row>
    <row r="19" spans="5:5" x14ac:dyDescent="0.3">
      <c r="E19" s="79">
        <f>SUMIFS(TablaEntradas[Cantidad],TablaEntradas[Código],Productos!$A19)-SUMIFS(TablaSalidas[Cantidad],TablaSalidas[Código],Productos!$A19)</f>
        <v>0</v>
      </c>
    </row>
    <row r="20" spans="5:5" x14ac:dyDescent="0.3">
      <c r="E20" s="79">
        <f>SUMIFS(TablaEntradas[Cantidad],TablaEntradas[Código],Productos!$A20)-SUMIFS(TablaSalidas[Cantidad],TablaSalidas[Código],Productos!$A20)</f>
        <v>0</v>
      </c>
    </row>
    <row r="21" spans="5:5" x14ac:dyDescent="0.3">
      <c r="E21" s="79">
        <f>SUMIFS(TablaEntradas[Cantidad],TablaEntradas[Código],Productos!$A21)-SUMIFS(TablaSalidas[Cantidad],TablaSalidas[Código],Productos!$A21)</f>
        <v>0</v>
      </c>
    </row>
    <row r="22" spans="5:5" x14ac:dyDescent="0.3">
      <c r="E22" s="79">
        <f>SUMIFS(TablaEntradas[Cantidad],TablaEntradas[Código],Productos!$A22)-SUMIFS(TablaSalidas[Cantidad],TablaSalidas[Código],Productos!$A22)</f>
        <v>0</v>
      </c>
    </row>
    <row r="23" spans="5:5" x14ac:dyDescent="0.3">
      <c r="E23" s="79">
        <f>SUMIFS(TablaEntradas[Cantidad],TablaEntradas[Código],Productos!$A23)-SUMIFS(TablaSalidas[Cantidad],TablaSalidas[Código],Productos!$A23)</f>
        <v>0</v>
      </c>
    </row>
    <row r="24" spans="5:5" x14ac:dyDescent="0.3">
      <c r="E24" s="79">
        <f>SUMIFS(TablaEntradas[Cantidad],TablaEntradas[Código],Productos!$A24)-SUMIFS(TablaSalidas[Cantidad],TablaSalidas[Código],Productos!$A24)</f>
        <v>0</v>
      </c>
    </row>
    <row r="25" spans="5:5" x14ac:dyDescent="0.3">
      <c r="E25" s="79">
        <f>SUMIFS(TablaEntradas[Cantidad],TablaEntradas[Código],Productos!$A25)-SUMIFS(TablaSalidas[Cantidad],TablaSalidas[Código],Productos!$A25)</f>
        <v>0</v>
      </c>
    </row>
    <row r="26" spans="5:5" x14ac:dyDescent="0.3">
      <c r="E26" s="79">
        <f>SUMIFS(TablaEntradas[Cantidad],TablaEntradas[Código],Productos!$A26)-SUMIFS(TablaSalidas[Cantidad],TablaSalidas[Código],Productos!$A26)</f>
        <v>0</v>
      </c>
    </row>
    <row r="27" spans="5:5" x14ac:dyDescent="0.3">
      <c r="E27" s="79">
        <f>SUMIFS(TablaEntradas[Cantidad],TablaEntradas[Código],Productos!$A27)-SUMIFS(TablaSalidas[Cantidad],TablaSalidas[Código],Productos!$A27)</f>
        <v>0</v>
      </c>
    </row>
    <row r="28" spans="5:5" x14ac:dyDescent="0.3">
      <c r="E28" s="79">
        <f>SUMIFS(TablaEntradas[Cantidad],TablaEntradas[Código],Productos!$A28)-SUMIFS(TablaSalidas[Cantidad],TablaSalidas[Código],Productos!$A28)</f>
        <v>0</v>
      </c>
    </row>
    <row r="29" spans="5:5" x14ac:dyDescent="0.3">
      <c r="E29" s="79">
        <f>SUMIFS(TablaEntradas[Cantidad],TablaEntradas[Código],Productos!$A29)-SUMIFS(TablaSalidas[Cantidad],TablaSalidas[Código],Productos!$A29)</f>
        <v>0</v>
      </c>
    </row>
    <row r="30" spans="5:5" x14ac:dyDescent="0.3">
      <c r="E30" s="79">
        <f>SUMIFS(TablaEntradas[Cantidad],TablaEntradas[Código],Productos!$A30)-SUMIFS(TablaSalidas[Cantidad],TablaSalidas[Código],Productos!$A30)</f>
        <v>0</v>
      </c>
    </row>
    <row r="31" spans="5:5" x14ac:dyDescent="0.3">
      <c r="E31" s="79">
        <f>SUMIFS(TablaEntradas[Cantidad],TablaEntradas[Código],Productos!$A31)-SUMIFS(TablaSalidas[Cantidad],TablaSalidas[Código],Productos!$A31)</f>
        <v>0</v>
      </c>
    </row>
    <row r="32" spans="5:5" x14ac:dyDescent="0.3">
      <c r="E32" s="79">
        <f>SUMIFS(TablaEntradas[Cantidad],TablaEntradas[Código],Productos!$A32)-SUMIFS(TablaSalidas[Cantidad],TablaSalidas[Código],Productos!$A32)</f>
        <v>0</v>
      </c>
    </row>
    <row r="33" spans="5:5" x14ac:dyDescent="0.3">
      <c r="E33" s="79">
        <f>SUMIFS(TablaEntradas[Cantidad],TablaEntradas[Código],Productos!$A33)-SUMIFS(TablaSalidas[Cantidad],TablaSalidas[Código],Productos!$A33)</f>
        <v>0</v>
      </c>
    </row>
    <row r="34" spans="5:5" x14ac:dyDescent="0.3">
      <c r="E34" s="79">
        <f>SUMIFS(TablaEntradas[Cantidad],TablaEntradas[Código],Productos!$A34)-SUMIFS(TablaSalidas[Cantidad],TablaSalidas[Código],Productos!$A34)</f>
        <v>0</v>
      </c>
    </row>
    <row r="35" spans="5:5" x14ac:dyDescent="0.3">
      <c r="E35" s="79">
        <f>SUMIFS(TablaEntradas[Cantidad],TablaEntradas[Código],Productos!$A35)-SUMIFS(TablaSalidas[Cantidad],TablaSalidas[Código],Productos!$A35)</f>
        <v>0</v>
      </c>
    </row>
    <row r="36" spans="5:5" x14ac:dyDescent="0.3">
      <c r="E36" s="79">
        <f>SUMIFS(TablaEntradas[Cantidad],TablaEntradas[Código],Productos!$A36)-SUMIFS(TablaSalidas[Cantidad],TablaSalidas[Código],Productos!$A36)</f>
        <v>0</v>
      </c>
    </row>
    <row r="37" spans="5:5" x14ac:dyDescent="0.3">
      <c r="E37" s="79">
        <f>SUMIFS(TablaEntradas[Cantidad],TablaEntradas[Código],Productos!$A37)-SUMIFS(TablaSalidas[Cantidad],TablaSalidas[Código],Productos!$A37)</f>
        <v>0</v>
      </c>
    </row>
    <row r="38" spans="5:5" x14ac:dyDescent="0.3">
      <c r="E38" s="79">
        <f>SUMIFS(TablaEntradas[Cantidad],TablaEntradas[Código],Productos!$A38)-SUMIFS(TablaSalidas[Cantidad],TablaSalidas[Código],Productos!$A38)</f>
        <v>0</v>
      </c>
    </row>
    <row r="39" spans="5:5" x14ac:dyDescent="0.3">
      <c r="E39" s="79">
        <f>SUMIFS(TablaEntradas[Cantidad],TablaEntradas[Código],Productos!$A39)-SUMIFS(TablaSalidas[Cantidad],TablaSalidas[Código],Productos!$A39)</f>
        <v>0</v>
      </c>
    </row>
    <row r="40" spans="5:5" x14ac:dyDescent="0.3">
      <c r="E40" s="79">
        <f>SUMIFS(TablaEntradas[Cantidad],TablaEntradas[Código],Productos!$A40)-SUMIFS(TablaSalidas[Cantidad],TablaSalidas[Código],Productos!$A40)</f>
        <v>0</v>
      </c>
    </row>
    <row r="41" spans="5:5" x14ac:dyDescent="0.3">
      <c r="E41" s="79">
        <f>SUMIFS(TablaEntradas[Cantidad],TablaEntradas[Código],Productos!$A41)-SUMIFS(TablaSalidas[Cantidad],TablaSalidas[Código],Productos!$A41)</f>
        <v>0</v>
      </c>
    </row>
    <row r="42" spans="5:5" x14ac:dyDescent="0.3">
      <c r="E42" s="79">
        <f>SUMIFS(TablaEntradas[Cantidad],TablaEntradas[Código],Productos!$A42)-SUMIFS(TablaSalidas[Cantidad],TablaSalidas[Código],Productos!$A42)</f>
        <v>0</v>
      </c>
    </row>
    <row r="43" spans="5:5" x14ac:dyDescent="0.3">
      <c r="E43" s="79">
        <f>SUMIFS(TablaEntradas[Cantidad],TablaEntradas[Código],Productos!$A43)-SUMIFS(TablaSalidas[Cantidad],TablaSalidas[Código],Productos!$A43)</f>
        <v>0</v>
      </c>
    </row>
    <row r="44" spans="5:5" x14ac:dyDescent="0.3">
      <c r="E44" s="79">
        <f>SUMIFS(TablaEntradas[Cantidad],TablaEntradas[Código],Productos!$A44)-SUMIFS(TablaSalidas[Cantidad],TablaSalidas[Código],Productos!$A44)</f>
        <v>0</v>
      </c>
    </row>
    <row r="45" spans="5:5" x14ac:dyDescent="0.3">
      <c r="E45" s="79">
        <f>SUMIFS(TablaEntradas[Cantidad],TablaEntradas[Código],Productos!$A45)-SUMIFS(TablaSalidas[Cantidad],TablaSalidas[Código],Productos!$A45)</f>
        <v>0</v>
      </c>
    </row>
    <row r="46" spans="5:5" x14ac:dyDescent="0.3">
      <c r="E46" s="79">
        <f>SUMIFS(TablaEntradas[Cantidad],TablaEntradas[Código],Productos!$A46)-SUMIFS(TablaSalidas[Cantidad],TablaSalidas[Código],Productos!$A46)</f>
        <v>0</v>
      </c>
    </row>
    <row r="47" spans="5:5" x14ac:dyDescent="0.3">
      <c r="E47" s="79">
        <f>SUMIFS(TablaEntradas[Cantidad],TablaEntradas[Código],Productos!$A47)-SUMIFS(TablaSalidas[Cantidad],TablaSalidas[Código],Productos!$A47)</f>
        <v>0</v>
      </c>
    </row>
    <row r="48" spans="5:5" x14ac:dyDescent="0.3">
      <c r="E48" s="79">
        <f>SUMIFS(TablaEntradas[Cantidad],TablaEntradas[Código],Productos!$A48)-SUMIFS(TablaSalidas[Cantidad],TablaSalidas[Código],Productos!$A48)</f>
        <v>0</v>
      </c>
    </row>
    <row r="49" spans="5:5" x14ac:dyDescent="0.3">
      <c r="E49" s="79">
        <f>SUMIFS(TablaEntradas[Cantidad],TablaEntradas[Código],Productos!$A49)-SUMIFS(TablaSalidas[Cantidad],TablaSalidas[Código],Productos!$A49)</f>
        <v>0</v>
      </c>
    </row>
    <row r="50" spans="5:5" x14ac:dyDescent="0.3">
      <c r="E50" s="79">
        <f>SUMIFS(TablaEntradas[Cantidad],TablaEntradas[Código],Productos!$A50)-SUMIFS(TablaSalidas[Cantidad],TablaSalidas[Código],Productos!$A50)</f>
        <v>0</v>
      </c>
    </row>
    <row r="51" spans="5:5" x14ac:dyDescent="0.3">
      <c r="E51" s="79">
        <f>SUMIFS(TablaEntradas[Cantidad],TablaEntradas[Código],Productos!$A51)-SUMIFS(TablaSalidas[Cantidad],TablaSalidas[Código],Productos!$A51)</f>
        <v>0</v>
      </c>
    </row>
    <row r="52" spans="5:5" x14ac:dyDescent="0.3">
      <c r="E52" s="79">
        <f>SUMIFS(TablaEntradas[Cantidad],TablaEntradas[Código],Productos!$A52)-SUMIFS(TablaSalidas[Cantidad],TablaSalidas[Código],Productos!$A52)</f>
        <v>0</v>
      </c>
    </row>
    <row r="53" spans="5:5" x14ac:dyDescent="0.3">
      <c r="E53" s="79">
        <f>SUMIFS(TablaEntradas[Cantidad],TablaEntradas[Código],Productos!$A53)-SUMIFS(TablaSalidas[Cantidad],TablaSalidas[Código],Productos!$A53)</f>
        <v>0</v>
      </c>
    </row>
    <row r="54" spans="5:5" x14ac:dyDescent="0.3">
      <c r="E54" s="79">
        <f>SUMIFS(TablaEntradas[Cantidad],TablaEntradas[Código],Productos!$A54)-SUMIFS(TablaSalidas[Cantidad],TablaSalidas[Código],Productos!$A54)</f>
        <v>0</v>
      </c>
    </row>
    <row r="55" spans="5:5" x14ac:dyDescent="0.3">
      <c r="E55" s="79">
        <f>SUMIFS(TablaEntradas[Cantidad],TablaEntradas[Código],Productos!$A55)-SUMIFS(TablaSalidas[Cantidad],TablaSalidas[Código],Productos!$A55)</f>
        <v>0</v>
      </c>
    </row>
    <row r="56" spans="5:5" x14ac:dyDescent="0.3">
      <c r="E56" s="79">
        <f>SUMIFS(TablaEntradas[Cantidad],TablaEntradas[Código],Productos!$A56)-SUMIFS(TablaSalidas[Cantidad],TablaSalidas[Código],Productos!$A56)</f>
        <v>0</v>
      </c>
    </row>
    <row r="57" spans="5:5" x14ac:dyDescent="0.3">
      <c r="E57" s="79">
        <f>SUMIFS(TablaEntradas[Cantidad],TablaEntradas[Código],Productos!$A57)-SUMIFS(TablaSalidas[Cantidad],TablaSalidas[Código],Productos!$A57)</f>
        <v>0</v>
      </c>
    </row>
    <row r="58" spans="5:5" x14ac:dyDescent="0.3">
      <c r="E58" s="79">
        <f>SUMIFS(TablaEntradas[Cantidad],TablaEntradas[Código],Productos!$A58)-SUMIFS(TablaSalidas[Cantidad],TablaSalidas[Código],Productos!$A58)</f>
        <v>0</v>
      </c>
    </row>
    <row r="59" spans="5:5" x14ac:dyDescent="0.3">
      <c r="E59" s="79">
        <f>SUMIFS(TablaEntradas[Cantidad],TablaEntradas[Código],Productos!$A59)-SUMIFS(TablaSalidas[Cantidad],TablaSalidas[Código],Productos!$A59)</f>
        <v>0</v>
      </c>
    </row>
    <row r="60" spans="5:5" x14ac:dyDescent="0.3">
      <c r="E60" s="79">
        <f>SUMIFS(TablaEntradas[Cantidad],TablaEntradas[Código],Productos!$A60)-SUMIFS(TablaSalidas[Cantidad],TablaSalidas[Código],Productos!$A60)</f>
        <v>0</v>
      </c>
    </row>
    <row r="61" spans="5:5" x14ac:dyDescent="0.3">
      <c r="E61" s="79">
        <f>SUMIFS(TablaEntradas[Cantidad],TablaEntradas[Código],Productos!$A61)-SUMIFS(TablaSalidas[Cantidad],TablaSalidas[Código],Productos!$A61)</f>
        <v>0</v>
      </c>
    </row>
    <row r="62" spans="5:5" x14ac:dyDescent="0.3">
      <c r="E62" s="79">
        <f>SUMIFS(TablaEntradas[Cantidad],TablaEntradas[Código],Productos!$A62)-SUMIFS(TablaSalidas[Cantidad],TablaSalidas[Código],Productos!$A62)</f>
        <v>0</v>
      </c>
    </row>
    <row r="63" spans="5:5" x14ac:dyDescent="0.3">
      <c r="E63" s="79">
        <f>SUMIFS(TablaEntradas[Cantidad],TablaEntradas[Código],Productos!$A63)-SUMIFS(TablaSalidas[Cantidad],TablaSalidas[Código],Productos!$A63)</f>
        <v>0</v>
      </c>
    </row>
    <row r="64" spans="5:5" x14ac:dyDescent="0.3">
      <c r="E64" s="79">
        <f>SUMIFS(TablaEntradas[Cantidad],TablaEntradas[Código],Productos!$A64)-SUMIFS(TablaSalidas[Cantidad],TablaSalidas[Código],Productos!$A64)</f>
        <v>0</v>
      </c>
    </row>
    <row r="65" spans="5:5" x14ac:dyDescent="0.3">
      <c r="E65" s="79">
        <f>SUMIFS(TablaEntradas[Cantidad],TablaEntradas[Código],Productos!$A65)-SUMIFS(TablaSalidas[Cantidad],TablaSalidas[Código],Productos!$A65)</f>
        <v>0</v>
      </c>
    </row>
    <row r="66" spans="5:5" x14ac:dyDescent="0.3">
      <c r="E66" s="79">
        <f>SUMIFS(TablaEntradas[Cantidad],TablaEntradas[Código],Productos!$A66)-SUMIFS(TablaSalidas[Cantidad],TablaSalidas[Código],Productos!$A66)</f>
        <v>0</v>
      </c>
    </row>
    <row r="67" spans="5:5" x14ac:dyDescent="0.3">
      <c r="E67" s="79">
        <f>SUMIFS(TablaEntradas[Cantidad],TablaEntradas[Código],Productos!$A67)-SUMIFS(TablaSalidas[Cantidad],TablaSalidas[Código],Productos!$A67)</f>
        <v>0</v>
      </c>
    </row>
    <row r="68" spans="5:5" x14ac:dyDescent="0.3">
      <c r="E68" s="79">
        <f>SUMIFS(TablaEntradas[Cantidad],TablaEntradas[Código],Productos!$A68)-SUMIFS(TablaSalidas[Cantidad],TablaSalidas[Código],Productos!$A68)</f>
        <v>0</v>
      </c>
    </row>
    <row r="69" spans="5:5" x14ac:dyDescent="0.3">
      <c r="E69" s="79">
        <f>SUMIFS(TablaEntradas[Cantidad],TablaEntradas[Código],Productos!$A69)-SUMIFS(TablaSalidas[Cantidad],TablaSalidas[Código],Productos!$A69)</f>
        <v>0</v>
      </c>
    </row>
    <row r="70" spans="5:5" x14ac:dyDescent="0.3">
      <c r="E70" s="79">
        <f>SUMIFS(TablaEntradas[Cantidad],TablaEntradas[Código],Productos!$A70)-SUMIFS(TablaSalidas[Cantidad],TablaSalidas[Código],Productos!$A70)</f>
        <v>0</v>
      </c>
    </row>
    <row r="71" spans="5:5" x14ac:dyDescent="0.3">
      <c r="E71" s="79">
        <f>SUMIFS(TablaEntradas[Cantidad],TablaEntradas[Código],Productos!$A71)-SUMIFS(TablaSalidas[Cantidad],TablaSalidas[Código],Productos!$A71)</f>
        <v>0</v>
      </c>
    </row>
    <row r="72" spans="5:5" x14ac:dyDescent="0.3">
      <c r="E72" s="79">
        <f>SUMIFS(TablaEntradas[Cantidad],TablaEntradas[Código],Productos!$A72)-SUMIFS(TablaSalidas[Cantidad],TablaSalidas[Código],Productos!$A72)</f>
        <v>0</v>
      </c>
    </row>
    <row r="73" spans="5:5" x14ac:dyDescent="0.3">
      <c r="E73" s="79">
        <f>SUMIFS(TablaEntradas[Cantidad],TablaEntradas[Código],Productos!$A73)-SUMIFS(TablaSalidas[Cantidad],TablaSalidas[Código],Productos!$A73)</f>
        <v>0</v>
      </c>
    </row>
    <row r="74" spans="5:5" x14ac:dyDescent="0.3">
      <c r="E74" s="79">
        <f>SUMIFS(TablaEntradas[Cantidad],TablaEntradas[Código],Productos!$A74)-SUMIFS(TablaSalidas[Cantidad],TablaSalidas[Código],Productos!$A74)</f>
        <v>0</v>
      </c>
    </row>
    <row r="75" spans="5:5" x14ac:dyDescent="0.3">
      <c r="E75" s="79">
        <f>SUMIFS(TablaEntradas[Cantidad],TablaEntradas[Código],Productos!$A75)-SUMIFS(TablaSalidas[Cantidad],TablaSalidas[Código],Productos!$A75)</f>
        <v>0</v>
      </c>
    </row>
    <row r="76" spans="5:5" x14ac:dyDescent="0.3">
      <c r="E76" s="79">
        <f>SUMIFS(TablaEntradas[Cantidad],TablaEntradas[Código],Productos!$A76)-SUMIFS(TablaSalidas[Cantidad],TablaSalidas[Código],Productos!$A76)</f>
        <v>0</v>
      </c>
    </row>
    <row r="77" spans="5:5" x14ac:dyDescent="0.3">
      <c r="E77" s="79">
        <f>SUMIFS(TablaEntradas[Cantidad],TablaEntradas[Código],Productos!$A77)-SUMIFS(TablaSalidas[Cantidad],TablaSalidas[Código],Productos!$A77)</f>
        <v>0</v>
      </c>
    </row>
    <row r="78" spans="5:5" x14ac:dyDescent="0.3">
      <c r="E78" s="79">
        <f>SUMIFS(TablaEntradas[Cantidad],TablaEntradas[Código],Productos!$A78)-SUMIFS(TablaSalidas[Cantidad],TablaSalidas[Código],Productos!$A78)</f>
        <v>0</v>
      </c>
    </row>
    <row r="79" spans="5:5" x14ac:dyDescent="0.3">
      <c r="E79" s="79">
        <f>SUMIFS(TablaEntradas[Cantidad],TablaEntradas[Código],Productos!$A79)-SUMIFS(TablaSalidas[Cantidad],TablaSalidas[Código],Productos!$A79)</f>
        <v>0</v>
      </c>
    </row>
    <row r="80" spans="5:5" x14ac:dyDescent="0.3">
      <c r="E80" s="79">
        <f>SUMIFS(TablaEntradas[Cantidad],TablaEntradas[Código],Productos!$A80)-SUMIFS(TablaSalidas[Cantidad],TablaSalidas[Código],Productos!$A80)</f>
        <v>0</v>
      </c>
    </row>
    <row r="81" spans="5:5" x14ac:dyDescent="0.3">
      <c r="E81" s="79">
        <f>SUMIFS(TablaEntradas[Cantidad],TablaEntradas[Código],Productos!$A81)-SUMIFS(TablaSalidas[Cantidad],TablaSalidas[Código],Productos!$A81)</f>
        <v>0</v>
      </c>
    </row>
    <row r="82" spans="5:5" x14ac:dyDescent="0.3">
      <c r="E82" s="79">
        <f>SUMIFS(TablaEntradas[Cantidad],TablaEntradas[Código],Productos!$A82)-SUMIFS(TablaSalidas[Cantidad],TablaSalidas[Código],Productos!$A82)</f>
        <v>0</v>
      </c>
    </row>
    <row r="83" spans="5:5" x14ac:dyDescent="0.3">
      <c r="E83" s="79">
        <f>SUMIFS(TablaEntradas[Cantidad],TablaEntradas[Código],Productos!$A83)-SUMIFS(TablaSalidas[Cantidad],TablaSalidas[Código],Productos!$A83)</f>
        <v>0</v>
      </c>
    </row>
    <row r="84" spans="5:5" x14ac:dyDescent="0.3">
      <c r="E84" s="79">
        <f>SUMIFS(TablaEntradas[Cantidad],TablaEntradas[Código],Productos!$A84)-SUMIFS(TablaSalidas[Cantidad],TablaSalidas[Código],Productos!$A84)</f>
        <v>0</v>
      </c>
    </row>
    <row r="85" spans="5:5" x14ac:dyDescent="0.3">
      <c r="E85" s="79">
        <f>SUMIFS(TablaEntradas[Cantidad],TablaEntradas[Código],Productos!$A85)-SUMIFS(TablaSalidas[Cantidad],TablaSalidas[Código],Productos!$A85)</f>
        <v>0</v>
      </c>
    </row>
    <row r="86" spans="5:5" x14ac:dyDescent="0.3">
      <c r="E86" s="79">
        <f>SUMIFS(TablaEntradas[Cantidad],TablaEntradas[Código],Productos!$A86)-SUMIFS(TablaSalidas[Cantidad],TablaSalidas[Código],Productos!$A86)</f>
        <v>0</v>
      </c>
    </row>
    <row r="87" spans="5:5" x14ac:dyDescent="0.3">
      <c r="E87" s="79">
        <f>SUMIFS(TablaEntradas[Cantidad],TablaEntradas[Código],Productos!$A87)-SUMIFS(TablaSalidas[Cantidad],TablaSalidas[Código],Productos!$A87)</f>
        <v>0</v>
      </c>
    </row>
    <row r="88" spans="5:5" x14ac:dyDescent="0.3">
      <c r="E88" s="79">
        <f>SUMIFS(TablaEntradas[Cantidad],TablaEntradas[Código],Productos!$A88)-SUMIFS(TablaSalidas[Cantidad],TablaSalidas[Código],Productos!$A88)</f>
        <v>0</v>
      </c>
    </row>
    <row r="89" spans="5:5" x14ac:dyDescent="0.3">
      <c r="E89" s="79">
        <f>SUMIFS(TablaEntradas[Cantidad],TablaEntradas[Código],Productos!$A89)-SUMIFS(TablaSalidas[Cantidad],TablaSalidas[Código],Productos!$A89)</f>
        <v>0</v>
      </c>
    </row>
    <row r="90" spans="5:5" x14ac:dyDescent="0.3">
      <c r="E90" s="79">
        <f>SUMIFS(TablaEntradas[Cantidad],TablaEntradas[Código],Productos!$A90)-SUMIFS(TablaSalidas[Cantidad],TablaSalidas[Código],Productos!$A90)</f>
        <v>0</v>
      </c>
    </row>
    <row r="91" spans="5:5" x14ac:dyDescent="0.3">
      <c r="E91" s="79">
        <f>SUMIFS(TablaEntradas[Cantidad],TablaEntradas[Código],Productos!$A91)-SUMIFS(TablaSalidas[Cantidad],TablaSalidas[Código],Productos!$A91)</f>
        <v>0</v>
      </c>
    </row>
    <row r="92" spans="5:5" x14ac:dyDescent="0.3">
      <c r="E92" s="79">
        <f>SUMIFS(TablaEntradas[Cantidad],TablaEntradas[Código],Productos!$A92)-SUMIFS(TablaSalidas[Cantidad],TablaSalidas[Código],Productos!$A92)</f>
        <v>0</v>
      </c>
    </row>
    <row r="93" spans="5:5" x14ac:dyDescent="0.3">
      <c r="E93" s="79">
        <f>SUMIFS(TablaEntradas[Cantidad],TablaEntradas[Código],Productos!$A93)-SUMIFS(TablaSalidas[Cantidad],TablaSalidas[Código],Productos!$A93)</f>
        <v>0</v>
      </c>
    </row>
    <row r="94" spans="5:5" x14ac:dyDescent="0.3">
      <c r="E94" s="79">
        <f>SUMIFS(TablaEntradas[Cantidad],TablaEntradas[Código],Productos!$A94)-SUMIFS(TablaSalidas[Cantidad],TablaSalidas[Código],Productos!$A94)</f>
        <v>0</v>
      </c>
    </row>
    <row r="95" spans="5:5" x14ac:dyDescent="0.3">
      <c r="E95" s="79">
        <f>SUMIFS(TablaEntradas[Cantidad],TablaEntradas[Código],Productos!$A95)-SUMIFS(TablaSalidas[Cantidad],TablaSalidas[Código],Productos!$A95)</f>
        <v>0</v>
      </c>
    </row>
    <row r="96" spans="5:5" x14ac:dyDescent="0.3">
      <c r="E96" s="79">
        <f>SUMIFS(TablaEntradas[Cantidad],TablaEntradas[Código],Productos!$A96)-SUMIFS(TablaSalidas[Cantidad],TablaSalidas[Código],Productos!$A96)</f>
        <v>0</v>
      </c>
    </row>
    <row r="97" spans="5:5" x14ac:dyDescent="0.3">
      <c r="E97" s="79">
        <f>SUMIFS(TablaEntradas[Cantidad],TablaEntradas[Código],Productos!$A97)-SUMIFS(TablaSalidas[Cantidad],TablaSalidas[Código],Productos!$A97)</f>
        <v>0</v>
      </c>
    </row>
    <row r="98" spans="5:5" x14ac:dyDescent="0.3">
      <c r="E98" s="79">
        <f>SUMIFS(TablaEntradas[Cantidad],TablaEntradas[Código],Productos!$A98)-SUMIFS(TablaSalidas[Cantidad],TablaSalidas[Código],Productos!$A98)</f>
        <v>0</v>
      </c>
    </row>
    <row r="99" spans="5:5" x14ac:dyDescent="0.3">
      <c r="E99" s="79">
        <f>SUMIFS(TablaEntradas[Cantidad],TablaEntradas[Código],Productos!$A99)-SUMIFS(TablaSalidas[Cantidad],TablaSalidas[Código],Productos!$A99)</f>
        <v>0</v>
      </c>
    </row>
    <row r="100" spans="5:5" x14ac:dyDescent="0.3">
      <c r="E100" s="79">
        <f>SUMIFS(TablaEntradas[Cantidad],TablaEntradas[Código],Productos!$A100)-SUMIFS(TablaSalidas[Cantidad],TablaSalidas[Código],Productos!$A100)</f>
        <v>0</v>
      </c>
    </row>
  </sheetData>
  <sheetProtection algorithmName="SHA-512" hashValue="9gyf7gEAZeaiDdUFd3p18HIFI6T/zdP37o8l8ai6LEev0yXENMCO1BX4dUuOGAZ64d83UoF+0Cr1KW0mmuELjA==" saltValue="ffRX7NTzBpXwSY0kXo/5Gg==" spinCount="100000" sheet="1" objects="1" scenarios="1" formatCells="0" formatColumns="0" formatRows="0" insertRows="0" deleteRows="0"/>
  <phoneticPr fontId="13" type="noConversion"/>
  <conditionalFormatting sqref="A1:B1">
    <cfRule type="duplicateValues" dxfId="38" priority="4"/>
  </conditionalFormatting>
  <conditionalFormatting sqref="A1:A1048576">
    <cfRule type="duplicateValues" dxfId="37" priority="1"/>
  </conditionalFormatting>
  <conditionalFormatting sqref="A1:E1 D2:E5 A2:B5 A6:E1048576">
    <cfRule type="expression" dxfId="36" priority="5">
      <formula>AND($C1&lt;&gt;"",$E1="")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B2"/>
  <sheetViews>
    <sheetView workbookViewId="0"/>
  </sheetViews>
  <sheetFormatPr baseColWidth="10" defaultRowHeight="16.5" x14ac:dyDescent="0.3"/>
  <cols>
    <col min="1" max="1" width="1.25" style="9" customWidth="1"/>
    <col min="2" max="2" width="38.75" style="9" customWidth="1"/>
    <col min="3" max="16384" width="11" style="9"/>
  </cols>
  <sheetData>
    <row r="1" spans="2:2" x14ac:dyDescent="0.3">
      <c r="B1" s="21" t="s">
        <v>61</v>
      </c>
    </row>
    <row r="2" spans="2:2" x14ac:dyDescent="0.3">
      <c r="B2" s="9" t="s">
        <v>60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B1:B3"/>
  <sheetViews>
    <sheetView workbookViewId="0"/>
  </sheetViews>
  <sheetFormatPr baseColWidth="10" defaultRowHeight="16.5" x14ac:dyDescent="0.3"/>
  <cols>
    <col min="1" max="1" width="1.625" style="9" customWidth="1"/>
    <col min="2" max="2" width="40.375" style="9" customWidth="1"/>
    <col min="3" max="16384" width="11" style="9"/>
  </cols>
  <sheetData>
    <row r="1" spans="2:2" x14ac:dyDescent="0.3">
      <c r="B1" s="21" t="s">
        <v>65</v>
      </c>
    </row>
    <row r="2" spans="2:2" x14ac:dyDescent="0.3">
      <c r="B2" s="22"/>
    </row>
    <row r="3" spans="2:2" x14ac:dyDescent="0.3">
      <c r="B3" s="2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B1:J36"/>
  <sheetViews>
    <sheetView showGridLines="0" zoomScale="95" zoomScaleNormal="95" workbookViewId="0"/>
  </sheetViews>
  <sheetFormatPr baseColWidth="10" defaultRowHeight="16.5" x14ac:dyDescent="0.3"/>
  <cols>
    <col min="1" max="1" width="1.375" style="17" customWidth="1"/>
    <col min="2" max="2" width="11.125" style="17" customWidth="1"/>
    <col min="3" max="3" width="9.875" style="17" bestFit="1" customWidth="1"/>
    <col min="4" max="4" width="19.125" style="2" customWidth="1"/>
    <col min="5" max="5" width="11" style="2"/>
    <col min="6" max="6" width="22.625" style="2" customWidth="1"/>
    <col min="7" max="7" width="35.875" style="17" customWidth="1"/>
    <col min="8" max="8" width="11" style="2"/>
    <col min="9" max="9" width="26.625" style="17" customWidth="1"/>
    <col min="10" max="10" width="11.125" style="2" bestFit="1" customWidth="1"/>
    <col min="11" max="16384" width="11" style="17"/>
  </cols>
  <sheetData>
    <row r="1" spans="2:10" x14ac:dyDescent="0.3">
      <c r="D1" s="17"/>
      <c r="E1" s="17"/>
      <c r="F1" s="17"/>
      <c r="H1" s="17"/>
      <c r="J1" s="17"/>
    </row>
    <row r="2" spans="2:10" hidden="1" x14ac:dyDescent="0.3">
      <c r="D2" s="17"/>
      <c r="E2" s="17"/>
      <c r="F2" s="17"/>
      <c r="H2" s="17"/>
      <c r="J2" s="17"/>
    </row>
    <row r="3" spans="2:10" hidden="1" x14ac:dyDescent="0.3">
      <c r="D3" s="17"/>
      <c r="E3" s="17"/>
      <c r="F3" s="17"/>
      <c r="H3" s="17"/>
      <c r="J3" s="17"/>
    </row>
    <row r="4" spans="2:10" hidden="1" x14ac:dyDescent="0.3">
      <c r="D4" s="17"/>
      <c r="E4" s="17"/>
      <c r="F4" s="17"/>
      <c r="H4" s="17"/>
      <c r="J4" s="17"/>
    </row>
    <row r="5" spans="2:10" hidden="1" x14ac:dyDescent="0.3">
      <c r="D5" s="17"/>
      <c r="E5" s="17"/>
      <c r="F5" s="17"/>
      <c r="H5" s="17"/>
      <c r="J5" s="17"/>
    </row>
    <row r="6" spans="2:10" ht="31.5" thickBot="1" x14ac:dyDescent="0.6">
      <c r="D6" s="17"/>
      <c r="E6" s="76" t="s">
        <v>49</v>
      </c>
      <c r="F6" s="77"/>
      <c r="G6" s="77"/>
      <c r="H6" s="17"/>
      <c r="J6" s="17"/>
    </row>
    <row r="7" spans="2:10" ht="17.25" thickTop="1" x14ac:dyDescent="0.3">
      <c r="D7" s="17"/>
      <c r="E7" s="17"/>
      <c r="F7" s="17"/>
      <c r="H7" s="17"/>
      <c r="J7" s="17"/>
    </row>
    <row r="8" spans="2:10" x14ac:dyDescent="0.3">
      <c r="B8" s="18"/>
      <c r="C8" s="18"/>
      <c r="D8" s="18"/>
      <c r="E8" s="18"/>
      <c r="F8" s="18"/>
      <c r="G8" s="18"/>
      <c r="H8" s="18"/>
      <c r="I8" s="18"/>
      <c r="J8" s="18"/>
    </row>
    <row r="9" spans="2:10" s="20" customFormat="1" x14ac:dyDescent="0.3">
      <c r="B9" s="19" t="s">
        <v>4</v>
      </c>
      <c r="C9" s="19" t="s">
        <v>9</v>
      </c>
      <c r="D9" s="19" t="s">
        <v>5</v>
      </c>
      <c r="E9" s="19" t="s">
        <v>28</v>
      </c>
      <c r="F9" s="19" t="s">
        <v>35</v>
      </c>
      <c r="G9" s="19" t="s">
        <v>7</v>
      </c>
      <c r="H9" s="19" t="s">
        <v>3</v>
      </c>
      <c r="I9" s="19" t="s">
        <v>6</v>
      </c>
      <c r="J9" s="19" t="s">
        <v>8</v>
      </c>
    </row>
    <row r="10" spans="2:10" s="20" customFormat="1" x14ac:dyDescent="0.3">
      <c r="B10" s="101"/>
      <c r="C10" s="102"/>
      <c r="D10" s="103"/>
      <c r="E10" s="102"/>
      <c r="F10" s="103"/>
      <c r="G10" s="103"/>
      <c r="H10" s="102"/>
      <c r="I10" s="103"/>
      <c r="J10" s="102"/>
    </row>
    <row r="11" spans="2:10" s="20" customFormat="1" x14ac:dyDescent="0.3">
      <c r="B11" s="101"/>
      <c r="C11" s="102"/>
      <c r="D11" s="103"/>
      <c r="E11" s="102"/>
      <c r="F11" s="103"/>
      <c r="G11" s="103"/>
      <c r="H11" s="102"/>
      <c r="I11" s="103"/>
      <c r="J11" s="102"/>
    </row>
    <row r="12" spans="2:10" s="20" customFormat="1" x14ac:dyDescent="0.3">
      <c r="B12" s="101"/>
      <c r="C12" s="102"/>
      <c r="D12" s="103"/>
      <c r="E12" s="102"/>
      <c r="F12" s="103"/>
      <c r="G12" s="103"/>
      <c r="H12" s="102"/>
      <c r="I12" s="103"/>
      <c r="J12" s="102"/>
    </row>
    <row r="13" spans="2:10" s="20" customFormat="1" x14ac:dyDescent="0.3">
      <c r="B13" s="101"/>
      <c r="C13" s="102"/>
      <c r="D13" s="103"/>
      <c r="E13" s="102"/>
      <c r="F13" s="103"/>
      <c r="G13" s="103"/>
      <c r="H13" s="102"/>
      <c r="I13" s="103"/>
      <c r="J13" s="102"/>
    </row>
    <row r="14" spans="2:10" s="20" customFormat="1" x14ac:dyDescent="0.3">
      <c r="B14" s="101"/>
      <c r="C14" s="102"/>
      <c r="D14" s="103"/>
      <c r="E14" s="102"/>
      <c r="F14" s="103"/>
      <c r="G14" s="103"/>
      <c r="H14" s="102"/>
      <c r="I14" s="103"/>
      <c r="J14" s="102"/>
    </row>
    <row r="15" spans="2:10" s="20" customFormat="1" x14ac:dyDescent="0.3">
      <c r="B15" s="101"/>
      <c r="C15" s="102"/>
      <c r="D15" s="103"/>
      <c r="E15" s="102"/>
      <c r="F15" s="103"/>
      <c r="G15" s="103"/>
      <c r="H15" s="102"/>
      <c r="I15" s="103"/>
      <c r="J15" s="102"/>
    </row>
    <row r="16" spans="2:10" s="20" customFormat="1" x14ac:dyDescent="0.3">
      <c r="B16" s="101"/>
      <c r="C16" s="102"/>
      <c r="D16" s="103"/>
      <c r="E16" s="102"/>
      <c r="F16" s="103"/>
      <c r="G16" s="103"/>
      <c r="H16" s="102"/>
      <c r="I16" s="103"/>
      <c r="J16" s="102"/>
    </row>
    <row r="17" spans="2:10" s="20" customFormat="1" x14ac:dyDescent="0.3">
      <c r="B17" s="101"/>
      <c r="C17" s="102"/>
      <c r="D17" s="103"/>
      <c r="E17" s="102"/>
      <c r="F17" s="103"/>
      <c r="G17" s="103"/>
      <c r="H17" s="102"/>
      <c r="I17" s="103"/>
      <c r="J17" s="102"/>
    </row>
    <row r="18" spans="2:10" s="20" customFormat="1" x14ac:dyDescent="0.3">
      <c r="B18" s="101"/>
      <c r="C18" s="102"/>
      <c r="D18" s="103"/>
      <c r="E18" s="102"/>
      <c r="F18" s="103"/>
      <c r="G18" s="103"/>
      <c r="H18" s="102"/>
      <c r="I18" s="103"/>
      <c r="J18" s="102"/>
    </row>
    <row r="19" spans="2:10" s="20" customFormat="1" x14ac:dyDescent="0.3">
      <c r="B19" s="101"/>
      <c r="C19" s="102"/>
      <c r="D19" s="103"/>
      <c r="E19" s="102"/>
      <c r="F19" s="103"/>
      <c r="G19" s="103"/>
      <c r="H19" s="102"/>
      <c r="I19" s="103"/>
      <c r="J19" s="102"/>
    </row>
    <row r="20" spans="2:10" s="20" customFormat="1" x14ac:dyDescent="0.3">
      <c r="B20" s="101"/>
      <c r="C20" s="102"/>
      <c r="D20" s="103"/>
      <c r="E20" s="102"/>
      <c r="F20" s="103"/>
      <c r="G20" s="103"/>
      <c r="H20" s="102"/>
      <c r="I20" s="103"/>
      <c r="J20" s="102"/>
    </row>
    <row r="21" spans="2:10" s="20" customFormat="1" x14ac:dyDescent="0.3">
      <c r="B21" s="101"/>
      <c r="C21" s="102"/>
      <c r="D21" s="103"/>
      <c r="E21" s="102"/>
      <c r="F21" s="103"/>
      <c r="G21" s="103"/>
      <c r="H21" s="102"/>
      <c r="I21" s="103"/>
      <c r="J21" s="102"/>
    </row>
    <row r="22" spans="2:10" s="20" customFormat="1" x14ac:dyDescent="0.3">
      <c r="B22" s="101"/>
      <c r="C22" s="102"/>
      <c r="D22" s="103"/>
      <c r="E22" s="102"/>
      <c r="F22" s="103"/>
      <c r="G22" s="103"/>
      <c r="H22" s="102"/>
      <c r="I22" s="103"/>
      <c r="J22" s="102"/>
    </row>
    <row r="23" spans="2:10" s="20" customFormat="1" x14ac:dyDescent="0.3">
      <c r="B23" s="101"/>
      <c r="C23" s="102"/>
      <c r="D23" s="103"/>
      <c r="E23" s="102"/>
      <c r="F23" s="103"/>
      <c r="G23" s="103"/>
      <c r="H23" s="102"/>
      <c r="I23" s="103"/>
      <c r="J23" s="102"/>
    </row>
    <row r="24" spans="2:10" s="20" customFormat="1" x14ac:dyDescent="0.3">
      <c r="B24" s="101"/>
      <c r="C24" s="102"/>
      <c r="D24" s="103"/>
      <c r="E24" s="102"/>
      <c r="F24" s="103"/>
      <c r="G24" s="103"/>
      <c r="H24" s="102"/>
      <c r="I24" s="103"/>
      <c r="J24" s="102"/>
    </row>
    <row r="25" spans="2:10" s="20" customFormat="1" x14ac:dyDescent="0.3">
      <c r="B25" s="101"/>
      <c r="C25" s="102"/>
      <c r="D25" s="103"/>
      <c r="E25" s="102"/>
      <c r="F25" s="103"/>
      <c r="G25" s="103"/>
      <c r="H25" s="102"/>
      <c r="I25" s="103"/>
      <c r="J25" s="102"/>
    </row>
    <row r="26" spans="2:10" s="20" customFormat="1" x14ac:dyDescent="0.3">
      <c r="B26" s="101"/>
      <c r="C26" s="102"/>
      <c r="D26" s="103"/>
      <c r="E26" s="102"/>
      <c r="F26" s="103"/>
      <c r="G26" s="103"/>
      <c r="H26" s="102"/>
      <c r="I26" s="103"/>
      <c r="J26" s="102"/>
    </row>
    <row r="27" spans="2:10" s="20" customFormat="1" x14ac:dyDescent="0.3">
      <c r="B27" s="101"/>
      <c r="C27" s="102"/>
      <c r="D27" s="103"/>
      <c r="E27" s="102"/>
      <c r="F27" s="103"/>
      <c r="G27" s="103"/>
      <c r="H27" s="102"/>
      <c r="I27" s="103"/>
      <c r="J27" s="102"/>
    </row>
    <row r="28" spans="2:10" s="20" customFormat="1" x14ac:dyDescent="0.3">
      <c r="B28" s="101"/>
      <c r="C28" s="102"/>
      <c r="D28" s="103"/>
      <c r="E28" s="102"/>
      <c r="F28" s="103"/>
      <c r="G28" s="103"/>
      <c r="H28" s="102"/>
      <c r="I28" s="103"/>
      <c r="J28" s="102"/>
    </row>
    <row r="29" spans="2:10" s="20" customFormat="1" x14ac:dyDescent="0.3">
      <c r="B29" s="101"/>
      <c r="C29" s="102"/>
      <c r="D29" s="103"/>
      <c r="E29" s="102"/>
      <c r="F29" s="103"/>
      <c r="G29" s="103"/>
      <c r="H29" s="102"/>
      <c r="I29" s="103"/>
      <c r="J29" s="102"/>
    </row>
    <row r="30" spans="2:10" s="20" customFormat="1" x14ac:dyDescent="0.3">
      <c r="B30" s="101"/>
      <c r="C30" s="102"/>
      <c r="D30" s="103"/>
      <c r="E30" s="102"/>
      <c r="F30" s="103"/>
      <c r="G30" s="103"/>
      <c r="H30" s="102"/>
      <c r="I30" s="103"/>
      <c r="J30" s="102"/>
    </row>
    <row r="31" spans="2:10" s="20" customFormat="1" x14ac:dyDescent="0.3">
      <c r="B31" s="101"/>
      <c r="C31" s="102"/>
      <c r="D31" s="103"/>
      <c r="E31" s="102"/>
      <c r="F31" s="103"/>
      <c r="G31" s="103"/>
      <c r="H31" s="102"/>
      <c r="I31" s="103"/>
      <c r="J31" s="102"/>
    </row>
    <row r="32" spans="2:10" s="20" customFormat="1" x14ac:dyDescent="0.3">
      <c r="B32" s="101"/>
      <c r="C32" s="102"/>
      <c r="D32" s="103"/>
      <c r="E32" s="102"/>
      <c r="F32" s="103"/>
      <c r="G32" s="103"/>
      <c r="H32" s="102"/>
      <c r="I32" s="103"/>
      <c r="J32" s="102"/>
    </row>
    <row r="33" spans="2:10" s="20" customFormat="1" x14ac:dyDescent="0.3">
      <c r="B33" s="101"/>
      <c r="C33" s="102"/>
      <c r="D33" s="103"/>
      <c r="E33" s="102"/>
      <c r="F33" s="103"/>
      <c r="G33" s="103"/>
      <c r="H33" s="102"/>
      <c r="I33" s="103"/>
      <c r="J33" s="102"/>
    </row>
    <row r="34" spans="2:10" s="20" customFormat="1" x14ac:dyDescent="0.3">
      <c r="B34" s="101"/>
      <c r="C34" s="102"/>
      <c r="D34" s="103"/>
      <c r="E34" s="102"/>
      <c r="F34" s="103"/>
      <c r="G34" s="103"/>
      <c r="H34" s="102"/>
      <c r="I34" s="103"/>
      <c r="J34" s="102"/>
    </row>
    <row r="35" spans="2:10" s="20" customFormat="1" x14ac:dyDescent="0.3">
      <c r="B35" s="101"/>
      <c r="C35" s="102"/>
      <c r="D35" s="103"/>
      <c r="E35" s="102"/>
      <c r="F35" s="103"/>
      <c r="G35" s="103"/>
      <c r="H35" s="102"/>
      <c r="I35" s="103"/>
      <c r="J35" s="102"/>
    </row>
    <row r="36" spans="2:10" s="20" customFormat="1" x14ac:dyDescent="0.3">
      <c r="B36" s="17"/>
      <c r="C36" s="17"/>
      <c r="D36" s="2"/>
      <c r="E36" s="2"/>
      <c r="F36" s="2"/>
      <c r="G36" s="17"/>
      <c r="H36" s="2"/>
      <c r="I36" s="17"/>
      <c r="J36" s="2"/>
    </row>
  </sheetData>
  <sheetProtection algorithmName="SHA-512" hashValue="Q7gysmZgauZEyuhWPyc7li/cGn4qvxb6SJx+be450k8bwl7Z/0o3wlw8MLCsrhikl3r322e6Ezj0++M9Uy+7Vw==" saltValue="97Fr0j1bbKahp/pJ/Cw0Mg==" spinCount="100000" sheet="1" objects="1" scenarios="1" formatCells="0" formatColumns="0" formatRows="0" autoFilter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B1:I30"/>
  <sheetViews>
    <sheetView showGridLines="0" zoomScale="95" zoomScaleNormal="95" workbookViewId="0"/>
  </sheetViews>
  <sheetFormatPr baseColWidth="10" defaultRowHeight="16.5" x14ac:dyDescent="0.3"/>
  <cols>
    <col min="1" max="1" width="1.125" style="17" customWidth="1"/>
    <col min="2" max="2" width="10.625" style="17" bestFit="1" customWidth="1"/>
    <col min="3" max="3" width="10.75" style="17" bestFit="1" customWidth="1"/>
    <col min="4" max="4" width="20.25" style="2" bestFit="1" customWidth="1"/>
    <col min="5" max="5" width="59.75" style="2" bestFit="1" customWidth="1"/>
    <col min="6" max="6" width="13.75" style="2" bestFit="1" customWidth="1"/>
    <col min="7" max="7" width="27.625" style="17" bestFit="1" customWidth="1"/>
    <col min="8" max="8" width="15.5" style="17" bestFit="1" customWidth="1"/>
    <col min="9" max="9" width="13" style="17" bestFit="1" customWidth="1"/>
    <col min="10" max="10" width="12.875" style="17" customWidth="1"/>
    <col min="11" max="11" width="16" style="17" bestFit="1" customWidth="1"/>
    <col min="12" max="16384" width="11" style="17"/>
  </cols>
  <sheetData>
    <row r="1" spans="2:9" x14ac:dyDescent="0.3">
      <c r="D1" s="17"/>
      <c r="E1" s="17"/>
      <c r="F1" s="17"/>
    </row>
    <row r="2" spans="2:9" hidden="1" x14ac:dyDescent="0.3">
      <c r="D2" s="17"/>
      <c r="E2" s="17"/>
      <c r="F2" s="17"/>
    </row>
    <row r="3" spans="2:9" hidden="1" x14ac:dyDescent="0.3">
      <c r="D3" s="17"/>
      <c r="E3" s="17"/>
      <c r="F3" s="17"/>
    </row>
    <row r="4" spans="2:9" hidden="1" x14ac:dyDescent="0.3">
      <c r="D4" s="17"/>
      <c r="E4" s="17"/>
      <c r="F4" s="17"/>
    </row>
    <row r="5" spans="2:9" x14ac:dyDescent="0.3">
      <c r="D5" s="17"/>
      <c r="E5" s="17"/>
      <c r="F5" s="17"/>
    </row>
    <row r="6" spans="2:9" ht="31.5" thickBot="1" x14ac:dyDescent="0.6">
      <c r="D6" s="17"/>
      <c r="E6" s="74" t="s">
        <v>66</v>
      </c>
      <c r="F6" s="75"/>
      <c r="G6" s="75"/>
    </row>
    <row r="7" spans="2:9" ht="17.25" thickTop="1" x14ac:dyDescent="0.3">
      <c r="D7" s="17"/>
      <c r="E7" s="17"/>
      <c r="F7" s="17"/>
    </row>
    <row r="8" spans="2:9" ht="11.25" customHeight="1" x14ac:dyDescent="0.3">
      <c r="D8" s="17"/>
      <c r="E8" s="17"/>
      <c r="F8" s="17"/>
    </row>
    <row r="9" spans="2:9" x14ac:dyDescent="0.3">
      <c r="B9" s="80" t="s">
        <v>4</v>
      </c>
      <c r="C9" s="81" t="s">
        <v>9</v>
      </c>
      <c r="D9" s="80" t="s">
        <v>10</v>
      </c>
      <c r="E9" s="81" t="s">
        <v>28</v>
      </c>
      <c r="F9" s="81" t="s">
        <v>35</v>
      </c>
      <c r="G9" s="81" t="s">
        <v>7</v>
      </c>
      <c r="H9" s="81" t="s">
        <v>6</v>
      </c>
      <c r="I9" s="81" t="s">
        <v>8</v>
      </c>
    </row>
    <row r="10" spans="2:9" x14ac:dyDescent="0.3">
      <c r="B10" s="101"/>
      <c r="C10" s="102"/>
      <c r="D10" s="111"/>
      <c r="E10" s="102"/>
      <c r="F10" s="103"/>
      <c r="G10" s="103"/>
      <c r="H10" s="103"/>
      <c r="I10" s="102"/>
    </row>
    <row r="11" spans="2:9" x14ac:dyDescent="0.3">
      <c r="B11" s="101"/>
      <c r="C11" s="102"/>
      <c r="D11" s="111"/>
      <c r="E11" s="102"/>
      <c r="F11" s="103"/>
      <c r="G11" s="103"/>
      <c r="H11" s="103"/>
      <c r="I11" s="102"/>
    </row>
    <row r="12" spans="2:9" x14ac:dyDescent="0.3">
      <c r="B12" s="101"/>
      <c r="C12" s="102"/>
      <c r="D12" s="111"/>
      <c r="E12" s="102"/>
      <c r="F12" s="103"/>
      <c r="G12" s="103"/>
      <c r="H12" s="103"/>
      <c r="I12" s="102"/>
    </row>
    <row r="13" spans="2:9" x14ac:dyDescent="0.3">
      <c r="B13" s="101"/>
      <c r="C13" s="102"/>
      <c r="D13" s="111"/>
      <c r="E13" s="102"/>
      <c r="F13" s="103"/>
      <c r="G13" s="103"/>
      <c r="H13" s="103"/>
      <c r="I13" s="102"/>
    </row>
    <row r="14" spans="2:9" x14ac:dyDescent="0.3">
      <c r="B14" s="101"/>
      <c r="C14" s="102"/>
      <c r="D14" s="111"/>
      <c r="E14" s="102"/>
      <c r="F14" s="103"/>
      <c r="G14" s="103"/>
      <c r="H14" s="103"/>
      <c r="I14" s="102"/>
    </row>
    <row r="15" spans="2:9" x14ac:dyDescent="0.3">
      <c r="B15" s="101"/>
      <c r="C15" s="102"/>
      <c r="D15" s="111"/>
      <c r="E15" s="102"/>
      <c r="F15" s="103"/>
      <c r="G15" s="103"/>
      <c r="H15" s="103"/>
      <c r="I15" s="102"/>
    </row>
    <row r="16" spans="2:9" x14ac:dyDescent="0.3">
      <c r="B16" s="101"/>
      <c r="C16" s="102"/>
      <c r="D16" s="111"/>
      <c r="E16" s="102"/>
      <c r="F16" s="103"/>
      <c r="G16" s="103"/>
      <c r="H16" s="103"/>
      <c r="I16" s="102"/>
    </row>
    <row r="17" spans="2:9" x14ac:dyDescent="0.3">
      <c r="B17" s="101"/>
      <c r="C17" s="102"/>
      <c r="D17" s="111"/>
      <c r="E17" s="102"/>
      <c r="F17" s="103"/>
      <c r="G17" s="103"/>
      <c r="H17" s="103"/>
      <c r="I17" s="102"/>
    </row>
    <row r="18" spans="2:9" x14ac:dyDescent="0.3">
      <c r="B18" s="101"/>
      <c r="C18" s="102"/>
      <c r="D18" s="111"/>
      <c r="E18" s="102"/>
      <c r="F18" s="103"/>
      <c r="G18" s="103"/>
      <c r="H18" s="103"/>
      <c r="I18" s="102"/>
    </row>
    <row r="19" spans="2:9" x14ac:dyDescent="0.3">
      <c r="B19" s="101"/>
      <c r="C19" s="102"/>
      <c r="D19" s="111"/>
      <c r="E19" s="102"/>
      <c r="F19" s="103"/>
      <c r="G19" s="103"/>
      <c r="H19" s="103"/>
      <c r="I19" s="102"/>
    </row>
    <row r="20" spans="2:9" x14ac:dyDescent="0.3">
      <c r="B20" s="101"/>
      <c r="C20" s="102"/>
      <c r="D20" s="111"/>
      <c r="E20" s="102"/>
      <c r="F20" s="103"/>
      <c r="G20" s="103"/>
      <c r="H20" s="103"/>
      <c r="I20" s="102"/>
    </row>
    <row r="21" spans="2:9" x14ac:dyDescent="0.3">
      <c r="B21" s="101"/>
      <c r="C21" s="102"/>
      <c r="D21" s="111"/>
      <c r="E21" s="102"/>
      <c r="F21" s="103"/>
      <c r="G21" s="103"/>
      <c r="H21" s="103"/>
      <c r="I21" s="102"/>
    </row>
    <row r="22" spans="2:9" x14ac:dyDescent="0.3">
      <c r="B22" s="87"/>
      <c r="C22" s="88"/>
      <c r="D22" s="89"/>
      <c r="E22" s="88"/>
      <c r="F22" s="90"/>
      <c r="G22" s="90"/>
      <c r="H22" s="90"/>
      <c r="I22" s="88"/>
    </row>
    <row r="23" spans="2:9" x14ac:dyDescent="0.3">
      <c r="B23" s="87"/>
      <c r="C23" s="88"/>
      <c r="D23" s="89"/>
      <c r="E23" s="88"/>
      <c r="F23" s="90"/>
      <c r="G23" s="90"/>
      <c r="H23" s="90"/>
      <c r="I23" s="88"/>
    </row>
    <row r="24" spans="2:9" x14ac:dyDescent="0.3">
      <c r="B24" s="87"/>
      <c r="C24" s="88"/>
      <c r="D24" s="89"/>
      <c r="E24" s="88"/>
      <c r="F24" s="90"/>
      <c r="G24" s="90"/>
      <c r="H24" s="90"/>
      <c r="I24" s="88"/>
    </row>
    <row r="25" spans="2:9" x14ac:dyDescent="0.3">
      <c r="B25" s="87"/>
      <c r="C25" s="88"/>
      <c r="D25" s="89"/>
      <c r="E25" s="88"/>
      <c r="F25" s="90"/>
      <c r="G25" s="90"/>
      <c r="H25" s="90"/>
      <c r="I25" s="88"/>
    </row>
    <row r="26" spans="2:9" x14ac:dyDescent="0.3">
      <c r="B26" s="87"/>
      <c r="C26" s="88"/>
      <c r="D26" s="89"/>
      <c r="E26" s="88"/>
      <c r="F26" s="90"/>
      <c r="G26" s="90"/>
      <c r="H26" s="90"/>
      <c r="I26" s="88"/>
    </row>
    <row r="27" spans="2:9" x14ac:dyDescent="0.3">
      <c r="B27" s="87"/>
      <c r="C27" s="88"/>
      <c r="D27" s="89"/>
      <c r="E27" s="88"/>
      <c r="F27" s="90"/>
      <c r="G27" s="90"/>
      <c r="H27" s="90"/>
      <c r="I27" s="88"/>
    </row>
    <row r="28" spans="2:9" x14ac:dyDescent="0.3">
      <c r="B28" s="87"/>
      <c r="C28" s="88"/>
      <c r="D28" s="89"/>
      <c r="E28" s="88"/>
      <c r="F28" s="90"/>
      <c r="G28" s="90"/>
      <c r="H28" s="90"/>
      <c r="I28" s="88"/>
    </row>
    <row r="29" spans="2:9" x14ac:dyDescent="0.3">
      <c r="B29" s="87"/>
      <c r="C29" s="88"/>
      <c r="D29" s="89"/>
      <c r="E29" s="88"/>
      <c r="F29" s="90"/>
      <c r="G29" s="90"/>
      <c r="H29" s="90"/>
      <c r="I29" s="88"/>
    </row>
    <row r="30" spans="2:9" x14ac:dyDescent="0.3">
      <c r="B30" s="87"/>
      <c r="C30" s="88"/>
      <c r="D30" s="89"/>
      <c r="E30" s="88"/>
      <c r="F30" s="90"/>
      <c r="G30" s="90"/>
      <c r="H30" s="90"/>
      <c r="I30" s="88"/>
    </row>
  </sheetData>
  <sheetProtection algorithmName="SHA-512" hashValue="8dIrLv5OqCKVaRySaQDYCY35l+bzxdpSmhWacY+DmqXOdV9EXntzjQb0tg9uXkEi6fXT2Dgnd5YACsIc09612Q==" saltValue="9QiJQFgFceF05zHmS1heeg==" spinCount="100000" sheet="1" objects="1" scenarios="1" formatCells="0" formatColumns="0" formatRows="0" autoFilter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K8"/>
  <sheetViews>
    <sheetView zoomScale="95" zoomScaleNormal="95" workbookViewId="0">
      <selection activeCell="F6" sqref="F6"/>
    </sheetView>
  </sheetViews>
  <sheetFormatPr baseColWidth="10" defaultRowHeight="16.5" x14ac:dyDescent="0.3"/>
  <cols>
    <col min="1" max="1" width="0.75" style="9" customWidth="1"/>
    <col min="2" max="2" width="12.625" style="9" customWidth="1"/>
    <col min="3" max="3" width="11.875" style="12" bestFit="1" customWidth="1"/>
    <col min="4" max="4" width="11" style="10"/>
    <col min="5" max="5" width="24.125" style="9" customWidth="1"/>
    <col min="6" max="6" width="11.25" style="10" customWidth="1"/>
    <col min="7" max="7" width="21.625" style="22" customWidth="1"/>
    <col min="8" max="8" width="43" style="9" customWidth="1"/>
    <col min="9" max="9" width="24.875" style="9" customWidth="1"/>
    <col min="10" max="10" width="11" style="10" customWidth="1"/>
    <col min="11" max="11" width="11.375" style="10" customWidth="1"/>
    <col min="12" max="16384" width="11" style="9"/>
  </cols>
  <sheetData>
    <row r="1" spans="1:11" ht="6.75" customHeight="1" x14ac:dyDescent="0.3">
      <c r="A1" s="47"/>
      <c r="B1" s="47"/>
      <c r="C1" s="65"/>
      <c r="D1" s="46"/>
      <c r="E1" s="47"/>
      <c r="F1" s="46"/>
      <c r="G1" s="66"/>
      <c r="H1" s="47"/>
      <c r="I1" s="47"/>
      <c r="J1" s="46"/>
      <c r="K1" s="46"/>
    </row>
    <row r="2" spans="1:11" s="2" customFormat="1" x14ac:dyDescent="0.3">
      <c r="A2" s="61"/>
      <c r="B2" s="61"/>
      <c r="C2" s="104"/>
      <c r="D2" s="105"/>
      <c r="E2" s="61"/>
      <c r="F2" s="105"/>
      <c r="G2" s="106"/>
      <c r="H2" s="61"/>
      <c r="I2" s="61"/>
      <c r="J2" s="105"/>
      <c r="K2" s="105"/>
    </row>
    <row r="3" spans="1:11" s="2" customFormat="1" ht="31.5" thickBot="1" x14ac:dyDescent="0.6">
      <c r="A3" s="61"/>
      <c r="B3" s="61"/>
      <c r="C3" s="104"/>
      <c r="D3" s="105"/>
      <c r="E3" s="61"/>
      <c r="F3" s="107" t="s">
        <v>50</v>
      </c>
      <c r="G3" s="108"/>
      <c r="H3" s="108"/>
      <c r="I3" s="61"/>
      <c r="J3" s="105"/>
      <c r="K3" s="105"/>
    </row>
    <row r="4" spans="1:11" s="2" customFormat="1" x14ac:dyDescent="0.3">
      <c r="A4" s="61"/>
      <c r="B4" s="61"/>
      <c r="C4" s="104"/>
      <c r="D4" s="105"/>
      <c r="E4" s="61"/>
      <c r="F4" s="105"/>
      <c r="G4" s="106"/>
      <c r="H4" s="61"/>
      <c r="I4" s="61"/>
      <c r="J4" s="105"/>
      <c r="K4" s="105"/>
    </row>
    <row r="5" spans="1:11" s="2" customFormat="1" x14ac:dyDescent="0.3">
      <c r="A5" s="61"/>
      <c r="B5" s="24" t="s">
        <v>22</v>
      </c>
      <c r="C5" s="67">
        <v>44007</v>
      </c>
      <c r="D5" s="105"/>
      <c r="E5" s="61"/>
      <c r="F5" s="105"/>
      <c r="G5" s="106"/>
      <c r="H5" s="61"/>
      <c r="I5" s="61"/>
      <c r="J5" s="105"/>
      <c r="K5" s="105"/>
    </row>
    <row r="6" spans="1:11" s="2" customFormat="1" x14ac:dyDescent="0.3">
      <c r="A6" s="61"/>
      <c r="B6" s="24" t="s">
        <v>23</v>
      </c>
      <c r="C6" s="67">
        <f ca="1">TODAY()</f>
        <v>45147</v>
      </c>
      <c r="D6" s="105"/>
      <c r="E6" s="61"/>
      <c r="F6" s="105"/>
      <c r="G6" s="106"/>
      <c r="H6" s="61"/>
      <c r="I6" s="61"/>
      <c r="J6" s="105"/>
      <c r="K6" s="105"/>
    </row>
    <row r="7" spans="1:11" s="2" customFormat="1" x14ac:dyDescent="0.3">
      <c r="A7" s="61"/>
      <c r="B7" s="61"/>
      <c r="C7" s="109"/>
      <c r="D7" s="105"/>
      <c r="E7" s="61"/>
      <c r="F7" s="105"/>
      <c r="G7" s="106"/>
      <c r="H7" s="61"/>
      <c r="I7" s="61"/>
      <c r="J7" s="110" t="s">
        <v>68</v>
      </c>
      <c r="K7" s="110" t="s">
        <v>64</v>
      </c>
    </row>
    <row r="8" spans="1:11" x14ac:dyDescent="0.3">
      <c r="A8" s="47"/>
      <c r="C8" s="13" t="s">
        <v>4</v>
      </c>
      <c r="D8" s="14" t="s">
        <v>9</v>
      </c>
      <c r="E8" s="15" t="s">
        <v>21</v>
      </c>
      <c r="F8" s="14" t="s">
        <v>28</v>
      </c>
      <c r="G8" s="14" t="s">
        <v>35</v>
      </c>
      <c r="H8" s="14" t="s">
        <v>7</v>
      </c>
      <c r="I8" s="14" t="s">
        <v>6</v>
      </c>
      <c r="J8" s="16" t="s">
        <v>56</v>
      </c>
      <c r="K8" s="14" t="s">
        <v>57</v>
      </c>
    </row>
  </sheetData>
  <sheetProtection algorithmName="SHA-512" hashValue="UO76TSK+5clbM7+lBSr6rXBvG0aIpucv7DW6Vq1wIAOPLGWJBLCw07Ef5KnXrH73+TtSry+0Gl6ZgxNH95adBA==" saltValue="2JbovQ1ZZzKTkw/QxzOlNQ==" spinCount="100000" sheet="1" objects="1" scenarios="1" formatCells="0" formatColumns="0" formatRows="0" autoFilter="0"/>
  <autoFilter ref="C8:K13" xr:uid="{00000000-0001-0000-0700-000000000000}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B1:J11"/>
  <sheetViews>
    <sheetView showGridLines="0" zoomScale="90" zoomScaleNormal="90" workbookViewId="0">
      <selection activeCell="C11" sqref="C11"/>
    </sheetView>
  </sheetViews>
  <sheetFormatPr baseColWidth="10" defaultRowHeight="16.5" x14ac:dyDescent="0.3"/>
  <cols>
    <col min="1" max="1" width="0.75" style="9" customWidth="1"/>
    <col min="2" max="2" width="11.375" style="9" customWidth="1"/>
    <col min="3" max="3" width="11.375" style="32" customWidth="1"/>
    <col min="4" max="4" width="22.875" style="37" customWidth="1"/>
    <col min="5" max="5" width="37.5" style="33" customWidth="1"/>
    <col min="6" max="6" width="7.25" style="32" bestFit="1" customWidth="1"/>
    <col min="7" max="7" width="10" style="32" bestFit="1" customWidth="1"/>
    <col min="8" max="8" width="9.125" style="32" customWidth="1"/>
    <col min="9" max="9" width="9.375" style="32" customWidth="1"/>
    <col min="10" max="10" width="9.125" style="32" customWidth="1"/>
    <col min="11" max="16384" width="11" style="9"/>
  </cols>
  <sheetData>
    <row r="1" spans="2:10" ht="26.25" x14ac:dyDescent="0.3">
      <c r="B1" s="62" t="s">
        <v>75</v>
      </c>
      <c r="C1" s="1"/>
      <c r="D1" s="1"/>
      <c r="E1" s="2"/>
      <c r="F1" s="1"/>
      <c r="G1" s="1"/>
      <c r="H1" s="1"/>
      <c r="I1" s="1"/>
      <c r="J1" s="1"/>
    </row>
    <row r="2" spans="2:10" ht="18" thickBot="1" x14ac:dyDescent="0.35">
      <c r="B2" s="63" t="s">
        <v>27</v>
      </c>
      <c r="C2" s="64"/>
      <c r="D2" s="64"/>
      <c r="E2" s="2"/>
      <c r="F2" s="1"/>
      <c r="G2" s="1"/>
      <c r="H2" s="1"/>
      <c r="I2" s="1"/>
      <c r="J2" s="1"/>
    </row>
    <row r="3" spans="2:10" x14ac:dyDescent="0.3">
      <c r="B3" s="2"/>
      <c r="C3" s="1"/>
      <c r="D3" s="1"/>
      <c r="E3" s="2"/>
      <c r="F3" s="1"/>
      <c r="G3" s="1"/>
      <c r="H3" s="1"/>
      <c r="I3" s="1"/>
      <c r="J3" s="1"/>
    </row>
    <row r="4" spans="2:10" x14ac:dyDescent="0.3">
      <c r="B4" s="2"/>
      <c r="C4" s="1"/>
      <c r="D4" s="1"/>
      <c r="E4" s="2"/>
      <c r="F4" s="1"/>
      <c r="G4" s="1"/>
      <c r="H4" s="1"/>
      <c r="I4" s="1"/>
      <c r="J4" s="1"/>
    </row>
    <row r="5" spans="2:10" x14ac:dyDescent="0.3">
      <c r="B5" s="2"/>
      <c r="C5" s="1"/>
      <c r="D5" s="1"/>
      <c r="E5" s="2"/>
      <c r="F5" s="1"/>
      <c r="G5" s="1"/>
      <c r="H5" s="1"/>
      <c r="I5" s="1"/>
      <c r="J5" s="1"/>
    </row>
    <row r="6" spans="2:10" x14ac:dyDescent="0.3">
      <c r="B6" s="24" t="s">
        <v>22</v>
      </c>
      <c r="C6" s="67">
        <v>44007</v>
      </c>
      <c r="D6" s="27"/>
      <c r="E6" s="23"/>
      <c r="F6" s="25"/>
      <c r="G6" s="25"/>
      <c r="H6" s="25"/>
      <c r="I6" s="25"/>
      <c r="J6" s="25"/>
    </row>
    <row r="7" spans="2:10" x14ac:dyDescent="0.3">
      <c r="B7" s="24" t="s">
        <v>23</v>
      </c>
      <c r="C7" s="67">
        <f ca="1">TODAY()</f>
        <v>45147</v>
      </c>
      <c r="D7" s="27"/>
      <c r="E7" s="23"/>
      <c r="F7" s="25"/>
      <c r="G7" s="25"/>
      <c r="H7" s="25"/>
      <c r="I7" s="25"/>
      <c r="J7" s="25"/>
    </row>
    <row r="8" spans="2:10" hidden="1" x14ac:dyDescent="0.3">
      <c r="B8" s="26"/>
      <c r="C8" s="27"/>
      <c r="D8" s="27"/>
      <c r="E8" s="23"/>
      <c r="F8" s="25"/>
      <c r="G8" s="39">
        <f ca="1">J8+I8-H8</f>
        <v>0</v>
      </c>
      <c r="H8" s="39">
        <f ca="1">SUMIFS(TablaEntradas[Cantidad],TablaEntradas[Código],Kardex!C8,TablaEntradas[Fecha],"&gt;="&amp;Kardex!$C$6,TablaEntradas[Fecha],"&lt;="&amp;Kardex!$C$7)</f>
        <v>0</v>
      </c>
      <c r="I8" s="39">
        <f ca="1">SUMIFS(TablaSalidas[Cantidad],TablaSalidas[Código],Kardex!C8,TablaSalidas[Fecha],"&gt;="&amp;Kardex!$C$6,TablaSalidas[Fecha],"&lt;="&amp;Kardex!$C$7)</f>
        <v>0</v>
      </c>
      <c r="J8" s="39"/>
    </row>
    <row r="9" spans="2:10" s="11" customFormat="1" x14ac:dyDescent="0.3">
      <c r="C9" s="28">
        <v>29</v>
      </c>
      <c r="D9" s="28"/>
      <c r="E9" s="29"/>
      <c r="F9" s="29"/>
      <c r="G9" s="123" t="s">
        <v>24</v>
      </c>
      <c r="H9" s="123"/>
      <c r="I9" s="123"/>
      <c r="J9" s="123"/>
    </row>
    <row r="10" spans="2:10" x14ac:dyDescent="0.3">
      <c r="C10" s="30" t="s">
        <v>0</v>
      </c>
      <c r="D10" s="30" t="s">
        <v>35</v>
      </c>
      <c r="E10" s="30" t="s">
        <v>7</v>
      </c>
      <c r="F10" s="31" t="s">
        <v>29</v>
      </c>
      <c r="G10" s="31" t="s">
        <v>25</v>
      </c>
      <c r="H10" s="31" t="s">
        <v>56</v>
      </c>
      <c r="I10" s="31" t="s">
        <v>57</v>
      </c>
      <c r="J10" s="31" t="s">
        <v>26</v>
      </c>
    </row>
    <row r="11" spans="2:10" x14ac:dyDescent="0.3">
      <c r="C11" s="32" t="s">
        <v>0</v>
      </c>
      <c r="D11" s="37" t="s">
        <v>35</v>
      </c>
      <c r="E11" s="33" t="s">
        <v>1</v>
      </c>
      <c r="F11" s="32" t="s">
        <v>2</v>
      </c>
      <c r="G11" s="32">
        <f ca="1">J11+I11-H11</f>
        <v>0</v>
      </c>
      <c r="H11" s="32">
        <f ca="1">SUMIFS(TablaEntradas[Cantidad],TablaEntradas[Código],Kardex!C11,TablaEntradas[Fecha],"&gt;="&amp;Kardex!$C$6,TablaEntradas[Fecha],"&lt;="&amp;Kardex!$C$7)</f>
        <v>0</v>
      </c>
      <c r="I11" s="32">
        <f ca="1">SUMIFS(TablaSalidas[Cantidad],TablaSalidas[Código],Kardex!C11,TablaSalidas[Fecha],"&gt;="&amp;Kardex!$C$6,TablaSalidas[Fecha],"&lt;="&amp;Kardex!$C$7)</f>
        <v>0</v>
      </c>
      <c r="J11" s="32">
        <v>0</v>
      </c>
    </row>
  </sheetData>
  <sheetProtection algorithmName="SHA-512" hashValue="9uAtH+7csvB/uG6jIjMemfppbX1xxKLfystDaMb92/+1XsYPrHOfhQyC6EAMYIEkoB1fk7TfvdLQd6ZLZS6MSw==" saltValue="/v1SB3jpfLtN7E6BJLfmIA==" spinCount="100000" sheet="1" objects="1" scenarios="1" formatCells="0" formatColumns="0" formatRows="0"/>
  <mergeCells count="1">
    <mergeCell ref="G9:J9"/>
  </mergeCells>
  <pageMargins left="0.15748031496062992" right="0.15748031496062992" top="0.39370078740157483" bottom="0.19685039370078741" header="0.31496062992125984" footer="0.15748031496062992"/>
  <pageSetup scale="70" fitToHeight="2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pageSetUpPr fitToPage="1"/>
  </sheetPr>
  <dimension ref="A1:E11"/>
  <sheetViews>
    <sheetView showGridLines="0" zoomScaleNormal="100" workbookViewId="0">
      <selection activeCell="C15" sqref="C15"/>
    </sheetView>
  </sheetViews>
  <sheetFormatPr baseColWidth="10" defaultRowHeight="16.5" x14ac:dyDescent="0.3"/>
  <cols>
    <col min="1" max="1" width="10.625" style="9" customWidth="1"/>
    <col min="2" max="2" width="22.875" style="9" customWidth="1"/>
    <col min="3" max="3" width="44.5" style="9" customWidth="1"/>
    <col min="4" max="4" width="10.125" style="9" customWidth="1"/>
    <col min="5" max="5" width="11.375" style="9" customWidth="1"/>
    <col min="6" max="6" width="2" style="9" customWidth="1"/>
    <col min="7" max="16384" width="11" style="9"/>
  </cols>
  <sheetData>
    <row r="1" spans="1:5" ht="20.25" x14ac:dyDescent="0.35">
      <c r="A1" s="71"/>
      <c r="B1" s="71"/>
      <c r="C1" s="71"/>
      <c r="D1" s="71"/>
      <c r="E1" s="71"/>
    </row>
    <row r="2" spans="1:5" ht="26.25" x14ac:dyDescent="0.45">
      <c r="A2" s="10"/>
      <c r="B2" s="10"/>
      <c r="D2" s="124" t="s">
        <v>51</v>
      </c>
      <c r="E2" s="124"/>
    </row>
    <row r="3" spans="1:5" ht="16.5" customHeight="1" x14ac:dyDescent="0.3">
      <c r="A3" s="10"/>
      <c r="B3" s="10"/>
      <c r="D3" s="70" t="s">
        <v>43</v>
      </c>
      <c r="E3" s="72" t="s">
        <v>67</v>
      </c>
    </row>
    <row r="4" spans="1:5" ht="16.5" customHeight="1" x14ac:dyDescent="0.3">
      <c r="A4" s="10"/>
      <c r="B4" s="10"/>
      <c r="E4" s="43"/>
    </row>
    <row r="5" spans="1:5" x14ac:dyDescent="0.3">
      <c r="A5" s="10"/>
      <c r="B5" s="10"/>
      <c r="E5" s="10"/>
    </row>
    <row r="6" spans="1:5" x14ac:dyDescent="0.3">
      <c r="A6" s="68" t="s">
        <v>30</v>
      </c>
      <c r="B6" s="73" t="s">
        <v>60</v>
      </c>
      <c r="C6" s="69"/>
      <c r="E6" s="10"/>
    </row>
    <row r="7" spans="1:5" ht="17.25" thickBot="1" x14ac:dyDescent="0.35">
      <c r="A7" s="68" t="s">
        <v>31</v>
      </c>
      <c r="B7" s="73" t="s">
        <v>69</v>
      </c>
      <c r="C7" s="69"/>
      <c r="D7" s="34" t="s">
        <v>32</v>
      </c>
      <c r="E7" s="93">
        <v>44007</v>
      </c>
    </row>
    <row r="8" spans="1:5" x14ac:dyDescent="0.3">
      <c r="A8" s="10"/>
      <c r="B8" s="10"/>
      <c r="D8" s="10"/>
      <c r="E8" s="10"/>
    </row>
    <row r="9" spans="1:5" x14ac:dyDescent="0.3">
      <c r="A9" s="35" t="s">
        <v>28</v>
      </c>
      <c r="B9" s="35" t="s">
        <v>35</v>
      </c>
      <c r="C9" s="35" t="s">
        <v>7</v>
      </c>
      <c r="D9" s="35" t="s">
        <v>2</v>
      </c>
      <c r="E9" s="35" t="s">
        <v>8</v>
      </c>
    </row>
    <row r="10" spans="1:5" x14ac:dyDescent="0.3">
      <c r="A10" s="102" t="s">
        <v>55</v>
      </c>
      <c r="B10" s="103" t="s">
        <v>73</v>
      </c>
      <c r="C10" s="103" t="s">
        <v>72</v>
      </c>
      <c r="D10" s="102" t="s">
        <v>3</v>
      </c>
      <c r="E10" s="102">
        <v>100</v>
      </c>
    </row>
    <row r="11" spans="1:5" x14ac:dyDescent="0.3">
      <c r="A11" s="102" t="s">
        <v>54</v>
      </c>
      <c r="B11" s="103" t="s">
        <v>73</v>
      </c>
      <c r="C11" s="103" t="s">
        <v>71</v>
      </c>
      <c r="D11" s="102" t="s">
        <v>3</v>
      </c>
      <c r="E11" s="102">
        <v>50</v>
      </c>
    </row>
  </sheetData>
  <sheetProtection algorithmName="SHA-512" hashValue="BpQsYn+QkavJ8n6+ZPNVQBTJpdFJA7pU1kmHNsymp2wi3bzj7mu7W+bdTg1opLiCZpWUtOiMFKBBxNBtwdlR/g==" saltValue="9l58FeC34pl+WhUSzHbNhw==" spinCount="100000" sheet="1" scenarios="1" formatCells="0" formatColumns="0" formatRows="0"/>
  <mergeCells count="1">
    <mergeCell ref="D2:E2"/>
  </mergeCells>
  <pageMargins left="0.4" right="0.23" top="0.47" bottom="0.74803149606299213" header="0.31496062992125984" footer="0.31496062992125984"/>
  <pageSetup paperSize="9" scale="83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pageSetUpPr fitToPage="1"/>
  </sheetPr>
  <dimension ref="A1:K72"/>
  <sheetViews>
    <sheetView showGridLines="0" zoomScaleNormal="100" zoomScaleSheetLayoutView="130" workbookViewId="0">
      <selection activeCell="C3" sqref="C3"/>
    </sheetView>
  </sheetViews>
  <sheetFormatPr baseColWidth="10" defaultRowHeight="16.5" x14ac:dyDescent="0.3"/>
  <cols>
    <col min="1" max="1" width="1.75" style="9" customWidth="1"/>
    <col min="2" max="2" width="13.125" style="9" customWidth="1"/>
    <col min="3" max="3" width="47" style="9" customWidth="1"/>
    <col min="4" max="4" width="12.5" style="9" customWidth="1"/>
    <col min="5" max="5" width="10.625" style="9" customWidth="1"/>
    <col min="6" max="6" width="1.125" style="9" customWidth="1"/>
    <col min="7" max="7" width="11" style="9" customWidth="1"/>
    <col min="8" max="8" width="13.375" style="9" hidden="1" customWidth="1"/>
    <col min="9" max="10" width="4.5" style="10" hidden="1" customWidth="1"/>
    <col min="11" max="11" width="6.75" style="10" hidden="1" customWidth="1"/>
    <col min="12" max="16384" width="11" style="9"/>
  </cols>
  <sheetData>
    <row r="1" spans="1:11" ht="20.25" x14ac:dyDescent="0.35">
      <c r="A1" s="47"/>
      <c r="B1" s="52"/>
      <c r="C1" s="52"/>
      <c r="D1" s="52"/>
      <c r="E1" s="52"/>
      <c r="F1" s="47"/>
      <c r="G1" s="47"/>
    </row>
    <row r="2" spans="1:11" ht="26.25" customHeight="1" x14ac:dyDescent="0.45">
      <c r="A2" s="47"/>
      <c r="B2" s="46"/>
      <c r="C2" s="47"/>
      <c r="D2" s="125" t="s">
        <v>62</v>
      </c>
      <c r="E2" s="125"/>
      <c r="F2" s="47"/>
      <c r="G2" s="47"/>
      <c r="H2" s="49" t="s">
        <v>32</v>
      </c>
      <c r="I2" s="49" t="s">
        <v>40</v>
      </c>
      <c r="J2" s="49" t="s">
        <v>42</v>
      </c>
      <c r="K2" s="49" t="s">
        <v>41</v>
      </c>
    </row>
    <row r="3" spans="1:11" ht="16.5" customHeight="1" x14ac:dyDescent="0.3">
      <c r="A3" s="47"/>
      <c r="B3" s="46"/>
      <c r="C3" s="47"/>
      <c r="D3" s="50" t="s">
        <v>43</v>
      </c>
      <c r="E3" s="83">
        <v>1</v>
      </c>
      <c r="F3" s="47"/>
      <c r="G3" s="61"/>
      <c r="H3" s="91">
        <v>44007</v>
      </c>
      <c r="I3" s="92">
        <f>DAY(H3)</f>
        <v>25</v>
      </c>
      <c r="J3" s="92">
        <f>MONTH(H3)</f>
        <v>6</v>
      </c>
      <c r="K3" s="92">
        <f>YEAR(H3)</f>
        <v>2020</v>
      </c>
    </row>
    <row r="4" spans="1:11" ht="16.5" customHeight="1" x14ac:dyDescent="0.3">
      <c r="A4" s="47"/>
      <c r="B4" s="46"/>
      <c r="C4" s="47"/>
      <c r="D4" s="48"/>
      <c r="E4" s="47"/>
      <c r="F4" s="47"/>
      <c r="G4" s="47"/>
    </row>
    <row r="5" spans="1:11" ht="16.5" customHeight="1" x14ac:dyDescent="0.3">
      <c r="A5" s="47"/>
      <c r="B5" s="46"/>
      <c r="C5" s="47"/>
      <c r="D5" s="48"/>
      <c r="E5" s="47"/>
      <c r="F5" s="47"/>
      <c r="G5" s="47"/>
    </row>
    <row r="6" spans="1:11" ht="16.5" customHeight="1" x14ac:dyDescent="0.3">
      <c r="A6" s="47"/>
      <c r="B6" s="84"/>
      <c r="C6" s="85"/>
      <c r="D6" s="126"/>
      <c r="E6" s="126"/>
      <c r="F6" s="47"/>
      <c r="G6" s="47"/>
    </row>
    <row r="7" spans="1:11" x14ac:dyDescent="0.3">
      <c r="A7" s="47"/>
      <c r="B7" s="86" t="s">
        <v>63</v>
      </c>
      <c r="C7" s="100" t="s">
        <v>70</v>
      </c>
      <c r="D7" s="46"/>
      <c r="E7" s="46"/>
      <c r="F7" s="47"/>
      <c r="G7" s="47"/>
    </row>
    <row r="8" spans="1:11" ht="18.75" hidden="1" customHeight="1" x14ac:dyDescent="0.3">
      <c r="A8" s="47"/>
      <c r="B8" s="58"/>
      <c r="C8" s="99"/>
      <c r="D8" s="95"/>
      <c r="E8" s="95"/>
      <c r="F8" s="47"/>
      <c r="G8" s="47"/>
    </row>
    <row r="9" spans="1:11" ht="16.5" hidden="1" customHeight="1" x14ac:dyDescent="0.3">
      <c r="A9" s="47"/>
      <c r="B9" s="59"/>
      <c r="C9" s="60"/>
      <c r="D9" s="51"/>
      <c r="E9" s="51"/>
      <c r="F9" s="47"/>
      <c r="G9" s="47"/>
    </row>
    <row r="10" spans="1:11" ht="3.75" customHeight="1" x14ac:dyDescent="0.3">
      <c r="A10" s="47"/>
      <c r="B10" s="46"/>
      <c r="C10" s="47"/>
      <c r="D10" s="46"/>
      <c r="E10" s="46"/>
    </row>
    <row r="11" spans="1:11" x14ac:dyDescent="0.3">
      <c r="B11" s="44" t="s">
        <v>44</v>
      </c>
      <c r="C11" s="45" t="s">
        <v>45</v>
      </c>
      <c r="D11" s="45" t="s">
        <v>46</v>
      </c>
      <c r="E11" s="45" t="s">
        <v>47</v>
      </c>
    </row>
    <row r="12" spans="1:11" x14ac:dyDescent="0.3">
      <c r="B12" s="53" t="s">
        <v>55</v>
      </c>
      <c r="C12" s="54" t="s">
        <v>72</v>
      </c>
      <c r="D12" s="53" t="str">
        <f>IFERROR(VLOOKUP(B12,Productos!$A$2:$D$1048576,4,0),"")</f>
        <v/>
      </c>
      <c r="E12" s="53">
        <v>50</v>
      </c>
    </row>
    <row r="13" spans="1:11" x14ac:dyDescent="0.3">
      <c r="B13" s="53" t="s">
        <v>54</v>
      </c>
      <c r="C13" s="54" t="s">
        <v>71</v>
      </c>
      <c r="D13" s="53" t="str">
        <f>IFERROR(VLOOKUP(B13,Productos!$A$2:$D$1048576,4,0),"")</f>
        <v/>
      </c>
      <c r="E13" s="53">
        <v>25</v>
      </c>
    </row>
    <row r="14" spans="1:11" x14ac:dyDescent="0.3">
      <c r="B14" s="53"/>
      <c r="C14" s="54"/>
      <c r="D14" s="53" t="str">
        <f>IFERROR(VLOOKUP(B14,Productos!$A$2:$D$1048576,4,0),"")</f>
        <v/>
      </c>
      <c r="E14" s="53"/>
    </row>
    <row r="15" spans="1:11" x14ac:dyDescent="0.3">
      <c r="B15" s="53"/>
      <c r="C15" s="54"/>
      <c r="D15" s="53" t="str">
        <f>IFERROR(VLOOKUP(B15,Productos!$A$2:$D$1048576,4,0),"")</f>
        <v/>
      </c>
      <c r="E15" s="53"/>
    </row>
    <row r="16" spans="1:11" x14ac:dyDescent="0.3">
      <c r="B16" s="53"/>
      <c r="C16" s="54"/>
      <c r="D16" s="53" t="str">
        <f>IFERROR(VLOOKUP(B16,Productos!$A$2:$D$1048576,4,0),"")</f>
        <v/>
      </c>
      <c r="E16" s="53"/>
    </row>
    <row r="17" spans="2:11" x14ac:dyDescent="0.3">
      <c r="B17" s="53"/>
      <c r="C17" s="54"/>
      <c r="D17" s="53" t="str">
        <f>IFERROR(VLOOKUP(B17,Productos!$A$2:$D$1048576,4,0),"")</f>
        <v/>
      </c>
      <c r="E17" s="53"/>
    </row>
    <row r="18" spans="2:11" x14ac:dyDescent="0.3">
      <c r="B18" s="55"/>
      <c r="C18" s="56"/>
      <c r="D18" s="53" t="str">
        <f>IFERROR(VLOOKUP(B18,Productos!$A$2:$D$1048576,4,0),"")</f>
        <v/>
      </c>
      <c r="E18" s="55"/>
    </row>
    <row r="19" spans="2:11" x14ac:dyDescent="0.3">
      <c r="B19" s="55"/>
      <c r="C19" s="56"/>
      <c r="D19" s="53" t="str">
        <f>IFERROR(VLOOKUP(B19,Productos!$A$2:$D$1048576,4,0),"")</f>
        <v/>
      </c>
      <c r="E19" s="55"/>
    </row>
    <row r="20" spans="2:11" x14ac:dyDescent="0.3">
      <c r="B20" s="55"/>
      <c r="C20" s="56"/>
      <c r="D20" s="53" t="str">
        <f>IFERROR(VLOOKUP(B20,Productos!$A$2:$D$1048576,4,0),"")</f>
        <v/>
      </c>
      <c r="E20" s="55"/>
    </row>
    <row r="21" spans="2:11" x14ac:dyDescent="0.3">
      <c r="B21" s="55"/>
      <c r="C21" s="56"/>
      <c r="D21" s="53" t="str">
        <f>IFERROR(VLOOKUP(B21,Productos!$A$2:$D$1048576,4,0),"")</f>
        <v/>
      </c>
      <c r="E21" s="55"/>
    </row>
    <row r="22" spans="2:11" x14ac:dyDescent="0.3">
      <c r="B22" s="55"/>
      <c r="C22" s="56"/>
      <c r="D22" s="53" t="str">
        <f>IFERROR(VLOOKUP(B22,Productos!$A$2:$D$1048576,4,0),"")</f>
        <v/>
      </c>
      <c r="E22" s="55"/>
    </row>
    <row r="23" spans="2:11" x14ac:dyDescent="0.3">
      <c r="B23" s="55"/>
      <c r="C23" s="56"/>
      <c r="D23" s="53" t="str">
        <f>IFERROR(VLOOKUP(B23,Productos!$A$2:$D$1048576,4,0),"")</f>
        <v/>
      </c>
      <c r="E23" s="55"/>
    </row>
    <row r="24" spans="2:11" x14ac:dyDescent="0.3">
      <c r="B24" s="55"/>
      <c r="C24" s="56"/>
      <c r="D24" s="53" t="str">
        <f>IFERROR(VLOOKUP(B24,Productos!$A$2:$D$1048576,4,0),"")</f>
        <v/>
      </c>
      <c r="E24" s="55"/>
    </row>
    <row r="25" spans="2:11" x14ac:dyDescent="0.3">
      <c r="B25" s="55"/>
      <c r="C25" s="56"/>
      <c r="D25" s="53" t="str">
        <f>IFERROR(VLOOKUP(B25,Productos!$A$2:$D$1048576,4,0),"")</f>
        <v/>
      </c>
      <c r="E25" s="55"/>
    </row>
    <row r="26" spans="2:11" x14ac:dyDescent="0.3">
      <c r="B26" s="55"/>
      <c r="C26" s="56"/>
      <c r="D26" s="53" t="str">
        <f>IFERROR(VLOOKUP(B26,Productos!$A$2:$D$1048576,4,0),"")</f>
        <v/>
      </c>
      <c r="E26" s="55"/>
    </row>
    <row r="27" spans="2:11" x14ac:dyDescent="0.3">
      <c r="B27" s="55"/>
      <c r="C27" s="56"/>
      <c r="D27" s="53" t="str">
        <f>IFERROR(VLOOKUP(B27,Productos!$A$2:$D$1048576,4,0),"")</f>
        <v/>
      </c>
      <c r="E27" s="55"/>
    </row>
    <row r="28" spans="2:11" x14ac:dyDescent="0.3">
      <c r="B28" s="55"/>
      <c r="C28" s="56"/>
      <c r="D28" s="53" t="str">
        <f>IFERROR(VLOOKUP(B28,Productos!$A$2:$D$1048576,4,0),"")</f>
        <v/>
      </c>
      <c r="E28" s="55"/>
    </row>
    <row r="29" spans="2:11" x14ac:dyDescent="0.3">
      <c r="B29" s="55"/>
      <c r="C29" s="56"/>
      <c r="D29" s="53" t="str">
        <f>IFERROR(VLOOKUP(B29,Productos!$A$2:$D$1048576,4,0),"")</f>
        <v/>
      </c>
      <c r="E29" s="55"/>
    </row>
    <row r="30" spans="2:11" x14ac:dyDescent="0.3">
      <c r="B30" s="55"/>
      <c r="C30" s="56"/>
      <c r="D30" s="53" t="str">
        <f>IFERROR(VLOOKUP(B30,Productos!$A$2:$D$1048576,4,0),"")</f>
        <v/>
      </c>
      <c r="E30" s="55"/>
    </row>
    <row r="31" spans="2:11" x14ac:dyDescent="0.3">
      <c r="B31" s="55"/>
      <c r="C31" s="56"/>
      <c r="D31" s="53" t="str">
        <f>IFERROR(VLOOKUP(B31,Productos!$A$2:$D$1048576,4,0),"")</f>
        <v/>
      </c>
      <c r="E31" s="55"/>
      <c r="I31" s="9"/>
      <c r="J31" s="9"/>
      <c r="K31" s="9"/>
    </row>
    <row r="32" spans="2:11" x14ac:dyDescent="0.3">
      <c r="B32" s="55"/>
      <c r="C32" s="56"/>
      <c r="D32" s="53" t="str">
        <f>IFERROR(VLOOKUP(B32,Productos!$A$2:$D$1048576,4,0),"")</f>
        <v/>
      </c>
      <c r="E32" s="55"/>
      <c r="I32" s="9"/>
      <c r="J32" s="9"/>
      <c r="K32" s="9"/>
    </row>
    <row r="33" spans="2:11" x14ac:dyDescent="0.3">
      <c r="B33" s="55"/>
      <c r="C33" s="56"/>
      <c r="D33" s="53" t="str">
        <f>IFERROR(VLOOKUP(B33,Productos!$A$2:$D$1048576,4,0),"")</f>
        <v/>
      </c>
      <c r="E33" s="55"/>
      <c r="I33" s="9"/>
      <c r="J33" s="9"/>
      <c r="K33" s="9"/>
    </row>
    <row r="34" spans="2:11" x14ac:dyDescent="0.3">
      <c r="B34" s="55"/>
      <c r="C34" s="56"/>
      <c r="D34" s="53" t="str">
        <f>IFERROR(VLOOKUP(B34,Productos!$A$2:$D$1048576,4,0),"")</f>
        <v/>
      </c>
      <c r="E34" s="55"/>
      <c r="I34" s="9"/>
      <c r="J34" s="9"/>
      <c r="K34" s="9"/>
    </row>
    <row r="35" spans="2:11" x14ac:dyDescent="0.3">
      <c r="B35" s="55"/>
      <c r="C35" s="56"/>
      <c r="D35" s="53" t="str">
        <f>IFERROR(VLOOKUP(B35,Productos!$A$2:$D$1048576,4,0),"")</f>
        <v/>
      </c>
      <c r="E35" s="55"/>
      <c r="I35" s="9"/>
      <c r="J35" s="9"/>
      <c r="K35" s="9"/>
    </row>
    <row r="36" spans="2:11" x14ac:dyDescent="0.3">
      <c r="B36" s="55"/>
      <c r="C36" s="56"/>
      <c r="D36" s="53" t="str">
        <f>IFERROR(VLOOKUP(B36,Productos!$A$2:$D$1048576,4,0),"")</f>
        <v/>
      </c>
      <c r="E36" s="55"/>
      <c r="I36" s="9"/>
      <c r="J36" s="9"/>
      <c r="K36" s="9"/>
    </row>
    <row r="37" spans="2:11" x14ac:dyDescent="0.3">
      <c r="B37" s="55"/>
      <c r="C37" s="56"/>
      <c r="D37" s="53" t="str">
        <f>IFERROR(VLOOKUP(B37,Productos!$A$2:$D$1048576,4,0),"")</f>
        <v/>
      </c>
      <c r="E37" s="55"/>
      <c r="I37" s="9"/>
      <c r="J37" s="9"/>
      <c r="K37" s="9"/>
    </row>
    <row r="38" spans="2:11" x14ac:dyDescent="0.3">
      <c r="B38" s="55"/>
      <c r="C38" s="56"/>
      <c r="D38" s="53" t="str">
        <f>IFERROR(VLOOKUP(B38,Productos!$A$2:$D$1048576,4,0),"")</f>
        <v/>
      </c>
      <c r="E38" s="55"/>
      <c r="I38" s="9"/>
      <c r="J38" s="9"/>
      <c r="K38" s="9"/>
    </row>
    <row r="39" spans="2:11" ht="15.75" customHeight="1" x14ac:dyDescent="0.3">
      <c r="B39" s="55"/>
      <c r="C39" s="56"/>
      <c r="D39" s="53" t="str">
        <f>IFERROR(VLOOKUP(B39,Productos!$A$2:$D$1048576,4,0),"")</f>
        <v/>
      </c>
      <c r="E39" s="55"/>
      <c r="I39" s="9"/>
      <c r="J39" s="9"/>
      <c r="K39" s="9"/>
    </row>
    <row r="40" spans="2:11" x14ac:dyDescent="0.3">
      <c r="B40" s="55"/>
      <c r="C40" s="56"/>
      <c r="D40" s="53" t="str">
        <f>IFERROR(VLOOKUP(B40,Productos!$A$2:$D$1048576,4,0),"")</f>
        <v/>
      </c>
      <c r="E40" s="55"/>
      <c r="I40" s="9"/>
      <c r="J40" s="9"/>
      <c r="K40" s="9"/>
    </row>
    <row r="41" spans="2:11" x14ac:dyDescent="0.3">
      <c r="B41" s="55"/>
      <c r="C41" s="56"/>
      <c r="D41" s="53" t="str">
        <f>IFERROR(VLOOKUP(B41,Productos!$A$2:$D$1048576,4,0),"")</f>
        <v/>
      </c>
      <c r="E41" s="55"/>
      <c r="I41" s="9"/>
      <c r="J41" s="9"/>
      <c r="K41" s="9"/>
    </row>
    <row r="42" spans="2:11" x14ac:dyDescent="0.3">
      <c r="B42" s="55"/>
      <c r="C42" s="56"/>
      <c r="D42" s="53" t="str">
        <f>IFERROR(VLOOKUP(B42,Productos!$A$2:$D$1048576,4,0),"")</f>
        <v/>
      </c>
      <c r="E42" s="55"/>
      <c r="I42" s="9"/>
      <c r="J42" s="9"/>
      <c r="K42" s="9"/>
    </row>
    <row r="43" spans="2:11" x14ac:dyDescent="0.3">
      <c r="B43" s="55"/>
      <c r="C43" s="56"/>
      <c r="D43" s="53" t="str">
        <f>IFERROR(VLOOKUP(B43,Productos!$A$2:$D$1048576,4,0),"")</f>
        <v/>
      </c>
      <c r="E43" s="55"/>
      <c r="I43" s="9"/>
      <c r="J43" s="9"/>
      <c r="K43" s="9"/>
    </row>
    <row r="44" spans="2:11" x14ac:dyDescent="0.3">
      <c r="B44" s="55"/>
      <c r="C44" s="56"/>
      <c r="D44" s="53" t="str">
        <f>IFERROR(VLOOKUP(B44,Productos!$A$2:$D$1048576,4,0),"")</f>
        <v/>
      </c>
      <c r="E44" s="55"/>
      <c r="I44" s="9"/>
      <c r="J44" s="9"/>
      <c r="K44" s="9"/>
    </row>
    <row r="45" spans="2:11" x14ac:dyDescent="0.3">
      <c r="B45" s="55"/>
      <c r="C45" s="56"/>
      <c r="D45" s="53" t="str">
        <f>IFERROR(VLOOKUP(B45,Productos!$A$2:$D$1048576,4,0),"")</f>
        <v/>
      </c>
      <c r="E45" s="55"/>
      <c r="I45" s="9"/>
      <c r="J45" s="9"/>
      <c r="K45" s="9"/>
    </row>
    <row r="46" spans="2:11" x14ac:dyDescent="0.3">
      <c r="B46" s="55"/>
      <c r="C46" s="56"/>
      <c r="D46" s="53" t="str">
        <f>IFERROR(VLOOKUP(B46,Productos!$A$2:$D$1048576,4,0),"")</f>
        <v/>
      </c>
      <c r="E46" s="55"/>
      <c r="I46" s="9"/>
      <c r="J46" s="9"/>
      <c r="K46" s="9"/>
    </row>
    <row r="47" spans="2:11" x14ac:dyDescent="0.3">
      <c r="B47" s="55"/>
      <c r="C47" s="56"/>
      <c r="D47" s="53" t="str">
        <f>IFERROR(VLOOKUP(B47,Productos!$A$2:$D$1048576,4,0),"")</f>
        <v/>
      </c>
      <c r="E47" s="55"/>
      <c r="I47" s="9"/>
      <c r="J47" s="9"/>
      <c r="K47" s="9"/>
    </row>
    <row r="48" spans="2:11" x14ac:dyDescent="0.3">
      <c r="B48" s="55"/>
      <c r="C48" s="56"/>
      <c r="D48" s="53" t="str">
        <f>IFERROR(VLOOKUP(B48,Productos!$A$2:$D$1048576,4,0),"")</f>
        <v/>
      </c>
      <c r="E48" s="55"/>
      <c r="I48" s="9"/>
      <c r="J48" s="9"/>
      <c r="K48" s="9"/>
    </row>
    <row r="49" spans="2:11" ht="15.75" customHeight="1" x14ac:dyDescent="0.3">
      <c r="B49" s="55"/>
      <c r="C49" s="56"/>
      <c r="D49" s="53" t="str">
        <f>IFERROR(VLOOKUP(B49,Productos!$A$2:$D$1048576,4,0),"")</f>
        <v/>
      </c>
      <c r="E49" s="55"/>
      <c r="I49" s="9"/>
      <c r="J49" s="9"/>
      <c r="K49" s="9"/>
    </row>
    <row r="50" spans="2:11" ht="4.5" customHeight="1" x14ac:dyDescent="0.3">
      <c r="B50" s="55"/>
      <c r="C50" s="56"/>
      <c r="D50" s="53" t="str">
        <f>IFERROR(VLOOKUP(B50,Productos!$A$2:$D$1048576,4,0),"")</f>
        <v/>
      </c>
      <c r="E50" s="55"/>
      <c r="I50" s="9"/>
      <c r="J50" s="9"/>
      <c r="K50" s="9"/>
    </row>
    <row r="51" spans="2:11" ht="2.25" customHeight="1" x14ac:dyDescent="0.3">
      <c r="B51" s="57"/>
      <c r="C51" s="57"/>
      <c r="D51" s="57" t="str">
        <f>IFERROR(VLOOKUP(B50,Productos!$A$2:$D$1048576,4,0),"")</f>
        <v/>
      </c>
      <c r="E51" s="57"/>
      <c r="I51" s="9"/>
      <c r="J51" s="9"/>
      <c r="K51" s="9"/>
    </row>
    <row r="52" spans="2:11" s="2" customFormat="1" x14ac:dyDescent="0.3"/>
    <row r="53" spans="2:11" s="2" customFormat="1" ht="18" customHeight="1" x14ac:dyDescent="0.3">
      <c r="B53" s="127" t="s">
        <v>48</v>
      </c>
      <c r="C53" s="127"/>
      <c r="D53" s="97"/>
      <c r="E53" s="97"/>
    </row>
    <row r="54" spans="2:11" s="2" customFormat="1" x14ac:dyDescent="0.3">
      <c r="B54" s="128" t="s">
        <v>74</v>
      </c>
      <c r="C54" s="128"/>
      <c r="D54" s="96"/>
      <c r="E54" s="96"/>
    </row>
    <row r="55" spans="2:11" s="2" customFormat="1" x14ac:dyDescent="0.3">
      <c r="B55" s="128"/>
      <c r="C55" s="128"/>
      <c r="D55" s="96"/>
      <c r="E55" s="96"/>
    </row>
    <row r="56" spans="2:11" s="2" customFormat="1" x14ac:dyDescent="0.3">
      <c r="B56" s="128"/>
      <c r="C56" s="128"/>
      <c r="D56" s="96"/>
      <c r="E56" s="96"/>
    </row>
    <row r="57" spans="2:11" s="2" customFormat="1" x14ac:dyDescent="0.3">
      <c r="I57" s="1"/>
      <c r="J57" s="1"/>
      <c r="K57" s="1"/>
    </row>
    <row r="58" spans="2:11" s="2" customFormat="1" x14ac:dyDescent="0.3">
      <c r="I58" s="1"/>
      <c r="J58" s="1"/>
      <c r="K58" s="1"/>
    </row>
    <row r="59" spans="2:11" s="2" customFormat="1" x14ac:dyDescent="0.3">
      <c r="I59" s="1"/>
      <c r="J59" s="1"/>
      <c r="K59" s="1"/>
    </row>
    <row r="60" spans="2:11" s="2" customFormat="1" ht="16.5" customHeight="1" x14ac:dyDescent="0.3">
      <c r="E60" s="1"/>
    </row>
    <row r="61" spans="2:11" s="2" customFormat="1" x14ac:dyDescent="0.3"/>
    <row r="62" spans="2:11" s="2" customFormat="1" x14ac:dyDescent="0.3">
      <c r="C62" s="98"/>
      <c r="I62" s="1"/>
      <c r="J62" s="1"/>
      <c r="K62" s="1"/>
    </row>
    <row r="63" spans="2:11" s="2" customFormat="1" x14ac:dyDescent="0.3">
      <c r="I63" s="1"/>
      <c r="J63" s="1"/>
      <c r="K63" s="1"/>
    </row>
    <row r="64" spans="2:11" s="2" customFormat="1" x14ac:dyDescent="0.3">
      <c r="I64" s="1"/>
      <c r="J64" s="1"/>
      <c r="K64" s="1"/>
    </row>
    <row r="65" spans="9:11" s="2" customFormat="1" x14ac:dyDescent="0.3">
      <c r="I65" s="1"/>
      <c r="J65" s="1"/>
      <c r="K65" s="1"/>
    </row>
    <row r="66" spans="9:11" s="2" customFormat="1" x14ac:dyDescent="0.3">
      <c r="I66" s="1"/>
      <c r="J66" s="1"/>
      <c r="K66" s="1"/>
    </row>
    <row r="67" spans="9:11" s="2" customFormat="1" x14ac:dyDescent="0.3">
      <c r="I67" s="1"/>
      <c r="J67" s="1"/>
      <c r="K67" s="1"/>
    </row>
    <row r="68" spans="9:11" s="2" customFormat="1" x14ac:dyDescent="0.3">
      <c r="I68" s="1"/>
      <c r="J68" s="1"/>
      <c r="K68" s="1"/>
    </row>
    <row r="69" spans="9:11" s="2" customFormat="1" x14ac:dyDescent="0.3">
      <c r="I69" s="1"/>
      <c r="J69" s="1"/>
      <c r="K69" s="1"/>
    </row>
    <row r="70" spans="9:11" s="2" customFormat="1" x14ac:dyDescent="0.3">
      <c r="I70" s="1"/>
      <c r="J70" s="1"/>
      <c r="K70" s="1"/>
    </row>
    <row r="71" spans="9:11" s="2" customFormat="1" x14ac:dyDescent="0.3">
      <c r="I71" s="1"/>
      <c r="J71" s="1"/>
      <c r="K71" s="1"/>
    </row>
    <row r="72" spans="9:11" s="2" customFormat="1" x14ac:dyDescent="0.3">
      <c r="I72" s="1"/>
      <c r="J72" s="1"/>
      <c r="K72" s="1"/>
    </row>
  </sheetData>
  <sheetProtection algorithmName="SHA-512" hashValue="7S00rDb/+602Ao8k/eapSutuf6ROAly48NMrf66n3S2j9hHREp8HOhwASmTQWCnjq25VEGLnjEzpGHVpSQyVuA==" saltValue="GbIHi3Ms46/sqz+D3zbQng==" spinCount="100000" sheet="1" scenarios="1" formatCells="0" formatColumns="0" formatRows="0"/>
  <mergeCells count="4">
    <mergeCell ref="D2:E2"/>
    <mergeCell ref="D6:E6"/>
    <mergeCell ref="B53:C53"/>
    <mergeCell ref="B54:C56"/>
  </mergeCells>
  <phoneticPr fontId="13" type="noConversion"/>
  <conditionalFormatting sqref="B51:C51 E51 B12:E50">
    <cfRule type="expression" dxfId="1" priority="2">
      <formula>MOD(ROW(),2)=1</formula>
    </cfRule>
  </conditionalFormatting>
  <conditionalFormatting sqref="D51">
    <cfRule type="expression" dxfId="0" priority="1">
      <formula>MOD(ROW(),2)=1</formula>
    </cfRule>
  </conditionalFormatting>
  <pageMargins left="0.98425196850393704" right="0.15748031496062992" top="0.36" bottom="0.18" header="0.31496062992125984" footer="0.27"/>
  <pageSetup paperSize="9" scale="92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60D54-218D-474B-AD45-EE72997222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14</vt:i4>
      </vt:variant>
    </vt:vector>
  </HeadingPairs>
  <TitlesOfParts>
    <vt:vector size="24" baseType="lpstr">
      <vt:lpstr>Inicio</vt:lpstr>
      <vt:lpstr>Productos</vt:lpstr>
      <vt:lpstr>Proveedor</vt:lpstr>
      <vt:lpstr>Clientes</vt:lpstr>
      <vt:lpstr>Entradas</vt:lpstr>
      <vt:lpstr>Salidas</vt:lpstr>
      <vt:lpstr>Movimientos</vt:lpstr>
      <vt:lpstr>Kardex</vt:lpstr>
      <vt:lpstr>PrintCompras</vt:lpstr>
      <vt:lpstr>PrintVentas</vt:lpstr>
      <vt:lpstr>PrintCompras!Área_de_impresión</vt:lpstr>
      <vt:lpstr>PrintVentas!Área_de_impresión</vt:lpstr>
      <vt:lpstr>Categoria_Compra</vt:lpstr>
      <vt:lpstr>Categoria_Venta</vt:lpstr>
      <vt:lpstr>CodProducto_Compra</vt:lpstr>
      <vt:lpstr>CodProducto_Venta</vt:lpstr>
      <vt:lpstr>CostoUnit_Venta</vt:lpstr>
      <vt:lpstr>Existencia_Venta</vt:lpstr>
      <vt:lpstr>Formulas</vt:lpstr>
      <vt:lpstr>NombreProducto_Compra</vt:lpstr>
      <vt:lpstr>NombreProducto_Venta</vt:lpstr>
      <vt:lpstr>PrecioUnit_Venta</vt:lpstr>
      <vt:lpstr>UndMedida_Compra</vt:lpstr>
      <vt:lpstr>UndMedida_Venta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acer</cp:lastModifiedBy>
  <cp:lastPrinted>2023-08-08T19:19:42Z</cp:lastPrinted>
  <dcterms:created xsi:type="dcterms:W3CDTF">2020-03-19T15:36:22Z</dcterms:created>
  <dcterms:modified xsi:type="dcterms:W3CDTF">2023-08-09T15:23:18Z</dcterms:modified>
</cp:coreProperties>
</file>